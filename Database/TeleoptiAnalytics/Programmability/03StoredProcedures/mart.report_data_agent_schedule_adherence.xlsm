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45" windowWidth="14295" windowHeight="7935" activeTab="1"/>
  </bookViews>
  <sheets>
    <sheet name="3 x Adherance" sheetId="4" r:id="rId1"/>
    <sheet name="Generate data" sheetId="5" r:id="rId2"/>
    <sheet name="Overview" sheetId="6" r:id="rId3"/>
    <sheet name="Sheet1" sheetId="7" r:id="rId4"/>
  </sheets>
  <functionGroups builtInGroupCount="17"/>
  <externalReferences>
    <externalReference r:id="rId5"/>
    <externalReference r:id="rId6"/>
  </externalReferences>
  <calcPr calcId="145621"/>
</workbook>
</file>

<file path=xl/calcChain.xml><?xml version="1.0" encoding="utf-8"?>
<calcChain xmlns="http://schemas.openxmlformats.org/spreadsheetml/2006/main">
  <c r="C9" i="4" l="1"/>
  <c r="B9" i="4"/>
  <c r="A9" i="4"/>
  <c r="M6" i="4"/>
  <c r="M5" i="4"/>
  <c r="M3" i="4"/>
  <c r="P16" i="7"/>
  <c r="O14" i="7"/>
  <c r="P14" i="7"/>
  <c r="M59" i="4"/>
  <c r="M38" i="4"/>
  <c r="M87" i="4"/>
  <c r="M83" i="4"/>
  <c r="M80" i="4"/>
  <c r="M73" i="4"/>
  <c r="M66" i="4"/>
  <c r="M52" i="4"/>
  <c r="M45" i="4"/>
  <c r="M31" i="4"/>
  <c r="M27" i="4"/>
  <c r="M26" i="4"/>
  <c r="M24" i="4"/>
  <c r="M20" i="4"/>
  <c r="M19" i="4"/>
  <c r="M17" i="4"/>
  <c r="M10" i="4"/>
  <c r="O6" i="4"/>
  <c r="O5" i="4"/>
  <c r="O3" i="4"/>
  <c r="O66" i="4"/>
  <c r="O73" i="4"/>
  <c r="O80" i="4"/>
  <c r="O59" i="4"/>
  <c r="A16" i="4" l="1"/>
  <c r="A23" i="4" s="1"/>
  <c r="A30" i="4" s="1"/>
  <c r="A37" i="4" s="1"/>
  <c r="A44" i="4" s="1"/>
  <c r="A51" i="4" s="1"/>
  <c r="A58" i="4" s="1"/>
  <c r="A65" i="4" s="1"/>
  <c r="A72" i="4" s="1"/>
  <c r="A79" i="4" s="1"/>
  <c r="A86" i="4" s="1"/>
  <c r="M82" i="4"/>
  <c r="O83" i="4"/>
  <c r="O82" i="4"/>
  <c r="M75" i="4" l="1"/>
  <c r="M76" i="4"/>
  <c r="M69" i="4"/>
  <c r="M90" i="4"/>
  <c r="M89" i="4"/>
  <c r="M68" i="4"/>
  <c r="M62" i="4"/>
  <c r="M61" i="4"/>
  <c r="M55" i="4"/>
  <c r="M54" i="4"/>
  <c r="M48" i="4"/>
  <c r="M47" i="4"/>
  <c r="M41" i="4"/>
  <c r="M40" i="4"/>
  <c r="M34" i="4"/>
  <c r="M33" i="4"/>
  <c r="M13" i="4"/>
  <c r="M12" i="4"/>
  <c r="B16" i="4"/>
  <c r="O76" i="4"/>
  <c r="O90" i="4"/>
  <c r="O61" i="4"/>
  <c r="O54" i="4"/>
  <c r="O34" i="4"/>
  <c r="O75" i="4"/>
  <c r="O48" i="4"/>
  <c r="O33" i="4"/>
  <c r="O40" i="4"/>
  <c r="O89" i="4"/>
  <c r="O69" i="4"/>
  <c r="O62" i="4"/>
  <c r="O47" i="4"/>
  <c r="O13" i="4"/>
  <c r="O55" i="4"/>
  <c r="O41" i="4"/>
  <c r="O68" i="4"/>
  <c r="O12" i="4"/>
  <c r="O87" i="4"/>
  <c r="O52" i="4"/>
  <c r="O45" i="4"/>
  <c r="O38" i="4"/>
  <c r="O31" i="4"/>
  <c r="O26" i="4"/>
  <c r="O24" i="4"/>
  <c r="O27" i="4"/>
  <c r="O17" i="4"/>
  <c r="O20" i="4"/>
  <c r="O19" i="4"/>
  <c r="O10" i="4"/>
  <c r="C16" i="4" l="1"/>
  <c r="C23" i="4" s="1"/>
  <c r="C30" i="4" s="1"/>
  <c r="C37" i="4" s="1"/>
  <c r="C44" i="4" s="1"/>
  <c r="C51" i="4" s="1"/>
  <c r="C58" i="4" s="1"/>
  <c r="C65" i="4" s="1"/>
  <c r="C72" i="4" s="1"/>
  <c r="C79" i="4" s="1"/>
  <c r="B23" i="4"/>
  <c r="B30" i="4" s="1"/>
  <c r="B37" i="4" s="1"/>
  <c r="B44" i="4" s="1"/>
  <c r="B51" i="4" s="1"/>
  <c r="B58" i="4" s="1"/>
  <c r="B65" i="4" s="1"/>
  <c r="B72" i="4" s="1"/>
  <c r="B79" i="4" s="1"/>
  <c r="B86" i="4" s="1"/>
  <c r="C86" i="4" l="1"/>
</calcChain>
</file>

<file path=xl/sharedStrings.xml><?xml version="1.0" encoding="utf-8"?>
<sst xmlns="http://schemas.openxmlformats.org/spreadsheetml/2006/main" count="392" uniqueCount="74">
  <si>
    <t>min</t>
  </si>
  <si>
    <t>ScheduledReadyTime</t>
  </si>
  <si>
    <t>EOD</t>
  </si>
  <si>
    <t>break</t>
  </si>
  <si>
    <t>Activity &lt;&gt; Phone</t>
  </si>
  <si>
    <t>CTI - ReadyTime</t>
  </si>
  <si>
    <t>Deviation</t>
  </si>
  <si>
    <t>Interval</t>
  </si>
  <si>
    <t>ReadyTimeAderance %</t>
  </si>
  <si>
    <t>ContractTime</t>
  </si>
  <si>
    <t>SchTimeAdherance %</t>
  </si>
  <si>
    <t>ContractSchAdherance %</t>
  </si>
  <si>
    <t xml:space="preserve"> </t>
  </si>
  <si>
    <t>ScheduledTime</t>
  </si>
  <si>
    <t>Meeting</t>
  </si>
  <si>
    <t>lunch</t>
  </si>
  <si>
    <t>admin</t>
  </si>
  <si>
    <t>Bill Gates</t>
  </si>
  <si>
    <t>Paris/Team 1</t>
  </si>
  <si>
    <t>phone</t>
  </si>
  <si>
    <t>breaks</t>
  </si>
  <si>
    <t>CTI</t>
  </si>
  <si>
    <t>Overtime</t>
  </si>
  <si>
    <t>date</t>
  </si>
  <si>
    <t>interval_id</t>
  </si>
  <si>
    <t>interval_name</t>
  </si>
  <si>
    <t>intervals_per_day</t>
  </si>
  <si>
    <t>site_id</t>
  </si>
  <si>
    <t>site_name</t>
  </si>
  <si>
    <t>team_id</t>
  </si>
  <si>
    <t>team_name</t>
  </si>
  <si>
    <t>person_id</t>
  </si>
  <si>
    <t>person_first_name</t>
  </si>
  <si>
    <t>person_last_name</t>
  </si>
  <si>
    <t>person_name</t>
  </si>
  <si>
    <t>adherence</t>
  </si>
  <si>
    <t>adherence_tot</t>
  </si>
  <si>
    <t>deviation_m</t>
  </si>
  <si>
    <t>adherence_calc_s</t>
  </si>
  <si>
    <t>deviation_tot_m</t>
  </si>
  <si>
    <t>ready_time_m</t>
  </si>
  <si>
    <t>is_logged_in</t>
  </si>
  <si>
    <t>activity_id</t>
  </si>
  <si>
    <t>absence_id</t>
  </si>
  <si>
    <t>display_color</t>
  </si>
  <si>
    <t>activity_absence_name</t>
  </si>
  <si>
    <t>team_adherence</t>
  </si>
  <si>
    <t>team_adherence_tot</t>
  </si>
  <si>
    <t>team_deviation_m</t>
  </si>
  <si>
    <t>team_deviation_tot_m</t>
  </si>
  <si>
    <t>adherence_type_selected</t>
  </si>
  <si>
    <t>hide_time_zone</t>
  </si>
  <si>
    <t>14:00-14:15</t>
  </si>
  <si>
    <t>London</t>
  </si>
  <si>
    <t>Team Preferences</t>
  </si>
  <si>
    <t>Ashley</t>
  </si>
  <si>
    <t>Andeen</t>
  </si>
  <si>
    <t>Ashley Andeen</t>
  </si>
  <si>
    <t>Phone</t>
  </si>
  <si>
    <t>14:15-14:30</t>
  </si>
  <si>
    <t>Not Defined</t>
  </si>
  <si>
    <t>14:30-14:45</t>
  </si>
  <si>
    <t>14:45-15:00</t>
  </si>
  <si>
    <t>15:00-15:15</t>
  </si>
  <si>
    <t>15:15-15:30</t>
  </si>
  <si>
    <t>15:30-15:45</t>
  </si>
  <si>
    <t>Lunch</t>
  </si>
  <si>
    <t>15:45-16:00</t>
  </si>
  <si>
    <t>16:00-16:15</t>
  </si>
  <si>
    <t>16:15-16:30</t>
  </si>
  <si>
    <t>16:30-16:45</t>
  </si>
  <si>
    <t>16:45-17:00</t>
  </si>
  <si>
    <t>Ready Time vs, Contracted Schedule Time</t>
  </si>
  <si>
    <t>Run this file from SQLCMD or SSMS to generate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</si>
</sst>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7030A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2" fillId="0" borderId="0" xfId="0" applyFont="1" applyBorder="1"/>
    <xf numFmtId="0" fontId="2" fillId="0" borderId="0" xfId="0" applyFont="1" applyFill="1" applyBorder="1" applyAlignment="1"/>
    <xf numFmtId="0" fontId="2" fillId="0" borderId="0" xfId="0" applyFont="1" applyFill="1" applyBorder="1"/>
    <xf numFmtId="0" fontId="4" fillId="0" borderId="0" xfId="0" applyFont="1" applyBorder="1"/>
    <xf numFmtId="0" fontId="5" fillId="0" borderId="0" xfId="0" applyFont="1" applyBorder="1"/>
    <xf numFmtId="9" fontId="5" fillId="0" borderId="0" xfId="1" applyFont="1" applyBorder="1"/>
    <xf numFmtId="0" fontId="2" fillId="5" borderId="0" xfId="0" applyFont="1" applyFill="1" applyBorder="1" applyAlignment="1">
      <alignment horizontal="center"/>
    </xf>
    <xf numFmtId="20" fontId="2" fillId="0" borderId="0" xfId="0" applyNumberFormat="1" applyFont="1" applyBorder="1"/>
    <xf numFmtId="0" fontId="2" fillId="6" borderId="1" xfId="0" applyFont="1" applyFill="1" applyBorder="1" applyAlignment="1"/>
    <xf numFmtId="0" fontId="2" fillId="6" borderId="2" xfId="0" applyFont="1" applyFill="1" applyBorder="1" applyAlignment="1"/>
    <xf numFmtId="0" fontId="5" fillId="0" borderId="2" xfId="0" applyFont="1" applyBorder="1"/>
    <xf numFmtId="0" fontId="2" fillId="0" borderId="2" xfId="0" applyFont="1" applyBorder="1"/>
    <xf numFmtId="0" fontId="2" fillId="0" borderId="3" xfId="0" applyFont="1" applyBorder="1"/>
    <xf numFmtId="0" fontId="3" fillId="0" borderId="0" xfId="0" applyFont="1" applyBorder="1" applyAlignment="1">
      <alignment horizontal="right"/>
    </xf>
    <xf numFmtId="0" fontId="3" fillId="0" borderId="0" xfId="0" applyFont="1" applyBorder="1"/>
    <xf numFmtId="0" fontId="2" fillId="7" borderId="4" xfId="0" applyFont="1" applyFill="1" applyBorder="1" applyAlignment="1"/>
    <xf numFmtId="0" fontId="2" fillId="7" borderId="0" xfId="0" applyFont="1" applyFill="1" applyBorder="1" applyAlignment="1"/>
    <xf numFmtId="0" fontId="2" fillId="0" borderId="5" xfId="0" applyFont="1" applyBorder="1"/>
    <xf numFmtId="0" fontId="2" fillId="0" borderId="4" xfId="0" applyFont="1" applyBorder="1"/>
    <xf numFmtId="0" fontId="2" fillId="5" borderId="4" xfId="0" applyFont="1" applyFill="1" applyBorder="1" applyAlignment="1"/>
    <xf numFmtId="0" fontId="2" fillId="0" borderId="0" xfId="0" applyFont="1" applyBorder="1" applyAlignment="1">
      <alignment horizontal="right"/>
    </xf>
    <xf numFmtId="0" fontId="2" fillId="2" borderId="4" xfId="0" applyFont="1" applyFill="1" applyBorder="1" applyAlignment="1"/>
    <xf numFmtId="0" fontId="2" fillId="2" borderId="0" xfId="0" applyFont="1" applyFill="1" applyBorder="1" applyAlignment="1">
      <alignment horizontal="center"/>
    </xf>
    <xf numFmtId="0" fontId="2" fillId="4" borderId="6" xfId="0" applyFont="1" applyFill="1" applyBorder="1" applyAlignment="1"/>
    <xf numFmtId="0" fontId="2" fillId="4" borderId="7" xfId="0" applyFont="1" applyFill="1" applyBorder="1" applyAlignment="1"/>
    <xf numFmtId="0" fontId="5" fillId="0" borderId="7" xfId="0" applyFont="1" applyBorder="1"/>
    <xf numFmtId="0" fontId="2" fillId="0" borderId="7" xfId="0" applyFont="1" applyBorder="1"/>
    <xf numFmtId="0" fontId="2" fillId="0" borderId="8" xfId="0" applyFont="1" applyBorder="1"/>
    <xf numFmtId="0" fontId="2" fillId="3" borderId="0" xfId="0" applyFont="1" applyFill="1" applyBorder="1" applyAlignment="1"/>
    <xf numFmtId="0" fontId="2" fillId="5" borderId="0" xfId="0" applyFont="1" applyFill="1" applyBorder="1" applyAlignment="1"/>
    <xf numFmtId="0" fontId="2" fillId="0" borderId="7" xfId="0" applyFont="1" applyFill="1" applyBorder="1" applyAlignment="1"/>
    <xf numFmtId="0" fontId="2" fillId="0" borderId="6" xfId="0" applyFont="1" applyBorder="1"/>
    <xf numFmtId="0" fontId="2" fillId="8" borderId="0" xfId="0" applyFont="1" applyFill="1" applyBorder="1" applyAlignment="1"/>
    <xf numFmtId="0" fontId="2" fillId="8" borderId="4" xfId="0" applyFont="1" applyFill="1" applyBorder="1" applyAlignment="1"/>
    <xf numFmtId="0" fontId="2" fillId="3" borderId="4" xfId="0" applyFont="1" applyFill="1" applyBorder="1" applyAlignment="1"/>
    <xf numFmtId="9" fontId="6" fillId="0" borderId="0" xfId="1" applyFont="1" applyBorder="1"/>
    <xf numFmtId="0" fontId="2" fillId="9" borderId="0" xfId="0" applyFont="1" applyFill="1" applyBorder="1"/>
    <xf numFmtId="0" fontId="0" fillId="0" borderId="7" xfId="0" applyBorder="1"/>
    <xf numFmtId="14" fontId="0" fillId="0" borderId="7" xfId="0" applyNumberFormat="1" applyBorder="1"/>
    <xf numFmtId="0" fontId="2" fillId="5" borderId="5" xfId="0" applyFont="1" applyFill="1" applyBorder="1" applyAlignment="1">
      <alignment horizontal="center"/>
    </xf>
    <xf numFmtId="0" fontId="2" fillId="0" borderId="1" xfId="0" applyFont="1" applyBorder="1"/>
    <xf numFmtId="0" fontId="2" fillId="3" borderId="5" xfId="0" applyFont="1" applyFill="1" applyBorder="1" applyAlignment="1"/>
    <xf numFmtId="0" fontId="2" fillId="4" borderId="8" xfId="0" applyFont="1" applyFill="1" applyBorder="1" applyAlignment="1"/>
    <xf numFmtId="0" fontId="2" fillId="0" borderId="8" xfId="0" applyFont="1" applyFill="1" applyBorder="1" applyAlignment="1"/>
    <xf numFmtId="9" fontId="3" fillId="0" borderId="0" xfId="1" applyFont="1" applyBorder="1" applyAlignment="1">
      <alignment horizontal="right"/>
    </xf>
    <xf numFmtId="0" fontId="5" fillId="10" borderId="0" xfId="0" applyFont="1" applyFill="1" applyBorder="1" applyAlignment="1">
      <alignment horizontal="center"/>
    </xf>
    <xf numFmtId="0" fontId="7" fillId="10" borderId="0" xfId="0" applyFont="1" applyFill="1" applyBorder="1" applyAlignment="1">
      <alignment horizontal="center"/>
    </xf>
    <xf numFmtId="0" fontId="7" fillId="10" borderId="9" xfId="0" applyFont="1" applyFill="1" applyBorder="1" applyAlignment="1">
      <alignment horizontal="center"/>
    </xf>
    <xf numFmtId="47" fontId="0" fillId="0" borderId="0" xfId="0" applyNumberFormat="1"/>
    <xf numFmtId="0" fontId="2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2466975</xdr:colOff>
          <xdr:row>5</xdr:row>
          <xdr:rowOff>104775</xdr:rowOff>
        </xdr:from>
        <xdr:to>
          <xdr:col>2</xdr:col>
          <xdr:colOff>66675</xdr:colOff>
          <xdr:row>9</xdr:row>
          <xdr:rowOff>28575</xdr:rowOff>
        </xdr:to>
        <xdr:sp macro="" textlink="">
          <xdr:nvSpPr>
            <xdr:cNvPr id="1028" name="Object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mart.report_data_agent_schedule_adherence.txt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oleObject" Target="mart.report_data_agent_schedule_adherence.txt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Package">
    <oleItems>
      <oleItem name="'" advise="1" preferPic="1"/>
    </oleItems>
  </oleLin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Package">
    <oleItems>
      <oleItem name="'" advise="1" preferPic="1"/>
    </oleItems>
  </ol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05"/>
  <sheetViews>
    <sheetView zoomScaleNormal="100" workbookViewId="0"/>
  </sheetViews>
  <sheetFormatPr defaultColWidth="3.85546875" defaultRowHeight="12" customHeight="1" x14ac:dyDescent="0.2"/>
  <cols>
    <col min="1" max="1" width="3.85546875" style="1"/>
    <col min="2" max="3" width="4.85546875" style="1" bestFit="1" customWidth="1"/>
    <col min="4" max="8" width="5.140625" style="1" customWidth="1"/>
    <col min="9" max="9" width="4.7109375" style="5" bestFit="1" customWidth="1"/>
    <col min="10" max="10" width="3.5703125" style="1" bestFit="1" customWidth="1"/>
    <col min="11" max="11" width="18.7109375" style="1" bestFit="1" customWidth="1"/>
    <col min="12" max="12" width="9.7109375" style="1" bestFit="1" customWidth="1"/>
    <col min="13" max="13" width="6.7109375" style="1" customWidth="1"/>
    <col min="14" max="14" width="18" style="1" bestFit="1" customWidth="1"/>
    <col min="15" max="15" width="6.5703125" style="21" bestFit="1" customWidth="1"/>
    <col min="16" max="16" width="4.85546875" style="1" bestFit="1" customWidth="1"/>
    <col min="17" max="17" width="3.85546875" style="1"/>
    <col min="18" max="18" width="12.5703125" style="1" customWidth="1"/>
    <col min="19" max="16384" width="3.85546875" style="1"/>
  </cols>
  <sheetData>
    <row r="1" spans="1:15" ht="12" customHeight="1" thickBot="1" x14ac:dyDescent="0.25">
      <c r="B1" s="8">
        <v>1.0416666666666666E-2</v>
      </c>
    </row>
    <row r="2" spans="1:15" ht="12" customHeight="1" x14ac:dyDescent="0.2">
      <c r="A2" s="1">
        <v>55</v>
      </c>
      <c r="B2" s="8">
        <v>0.57291666666666663</v>
      </c>
      <c r="C2" s="8">
        <v>0.58333333333333337</v>
      </c>
      <c r="D2" s="9"/>
      <c r="E2" s="10"/>
      <c r="F2" s="10"/>
      <c r="G2" s="10"/>
      <c r="H2" s="10"/>
      <c r="I2" s="11">
        <v>15</v>
      </c>
      <c r="J2" s="12" t="s">
        <v>0</v>
      </c>
      <c r="K2" s="13" t="s">
        <v>7</v>
      </c>
    </row>
    <row r="3" spans="1:15" ht="12" customHeight="1" x14ac:dyDescent="0.2">
      <c r="D3" s="19"/>
      <c r="I3" s="5">
        <v>0</v>
      </c>
      <c r="J3" s="1" t="s">
        <v>0</v>
      </c>
      <c r="K3" s="18" t="s">
        <v>9</v>
      </c>
      <c r="L3" s="14" t="s">
        <v>6</v>
      </c>
      <c r="M3" s="5">
        <f>ABS(IF(I5&gt;I3,I3,I5)-IF(I7&gt;I3,I3,I7))</f>
        <v>0</v>
      </c>
      <c r="N3" s="15" t="s">
        <v>11</v>
      </c>
      <c r="O3" s="45">
        <f>AdherancePercentage(I3,M3)</f>
        <v>1</v>
      </c>
    </row>
    <row r="4" spans="1:15" ht="12" customHeight="1" x14ac:dyDescent="0.2">
      <c r="D4" s="19"/>
      <c r="I4" s="5">
        <v>0</v>
      </c>
      <c r="J4" s="1" t="s">
        <v>0</v>
      </c>
      <c r="K4" s="18" t="s">
        <v>4</v>
      </c>
    </row>
    <row r="5" spans="1:15" ht="12" customHeight="1" x14ac:dyDescent="0.2">
      <c r="D5" s="19"/>
      <c r="I5" s="5">
        <v>0</v>
      </c>
      <c r="J5" s="1" t="s">
        <v>0</v>
      </c>
      <c r="K5" s="18" t="s">
        <v>1</v>
      </c>
      <c r="L5" s="14" t="s">
        <v>6</v>
      </c>
      <c r="M5" s="1">
        <f>IF(I7&gt;I5,0,I5-I7)</f>
        <v>0</v>
      </c>
      <c r="N5" s="15" t="s">
        <v>8</v>
      </c>
      <c r="O5" s="45">
        <f>AdherancePercentage(I5,M5)</f>
        <v>1</v>
      </c>
    </row>
    <row r="6" spans="1:15" ht="12" customHeight="1" x14ac:dyDescent="0.2">
      <c r="D6" s="19"/>
      <c r="I6" s="5">
        <v>0</v>
      </c>
      <c r="J6" s="1" t="s">
        <v>0</v>
      </c>
      <c r="K6" s="18" t="s">
        <v>13</v>
      </c>
      <c r="L6" s="14" t="s">
        <v>6</v>
      </c>
      <c r="M6" s="1">
        <f>ABS(I5-I7)</f>
        <v>9</v>
      </c>
      <c r="N6" s="15" t="s">
        <v>10</v>
      </c>
      <c r="O6" s="45">
        <f>AdherancePercentage(I6,M6)</f>
        <v>1</v>
      </c>
    </row>
    <row r="7" spans="1:15" ht="12" customHeight="1" thickBot="1" x14ac:dyDescent="0.25">
      <c r="D7" s="32"/>
      <c r="E7" s="27"/>
      <c r="F7" s="25"/>
      <c r="G7" s="25"/>
      <c r="H7" s="25"/>
      <c r="I7" s="26">
        <v>9</v>
      </c>
      <c r="J7" s="27" t="s">
        <v>0</v>
      </c>
      <c r="K7" s="28" t="s">
        <v>5</v>
      </c>
    </row>
    <row r="8" spans="1:15" ht="12" customHeight="1" thickBot="1" x14ac:dyDescent="0.25"/>
    <row r="9" spans="1:15" ht="12" customHeight="1" x14ac:dyDescent="0.2">
      <c r="A9" s="1">
        <f>A2+1</f>
        <v>56</v>
      </c>
      <c r="B9" s="8">
        <f>B2+$B$1</f>
        <v>0.58333333333333326</v>
      </c>
      <c r="C9" s="8">
        <f>C2+$B$1</f>
        <v>0.59375</v>
      </c>
      <c r="D9" s="9"/>
      <c r="E9" s="10"/>
      <c r="F9" s="10"/>
      <c r="G9" s="10"/>
      <c r="H9" s="10"/>
      <c r="I9" s="11">
        <v>15</v>
      </c>
      <c r="J9" s="12" t="s">
        <v>0</v>
      </c>
      <c r="K9" s="13" t="s">
        <v>7</v>
      </c>
    </row>
    <row r="10" spans="1:15" ht="12" customHeight="1" x14ac:dyDescent="0.2">
      <c r="D10" s="16"/>
      <c r="E10" s="17"/>
      <c r="F10" s="17"/>
      <c r="G10" s="17"/>
      <c r="H10" s="17"/>
      <c r="I10" s="5">
        <v>15</v>
      </c>
      <c r="J10" s="1" t="s">
        <v>0</v>
      </c>
      <c r="K10" s="18" t="s">
        <v>9</v>
      </c>
      <c r="L10" s="14" t="s">
        <v>6</v>
      </c>
      <c r="M10" s="5">
        <f>ABS(IF(I12&gt;I10,I10,I12)-IF(I14&gt;I10,I10,I14))</f>
        <v>0</v>
      </c>
      <c r="N10" s="15" t="s">
        <v>11</v>
      </c>
      <c r="O10" s="45">
        <f>AdherancePercentage(I10,M10)</f>
        <v>1</v>
      </c>
    </row>
    <row r="11" spans="1:15" ht="12" customHeight="1" x14ac:dyDescent="0.2">
      <c r="D11" s="19"/>
      <c r="I11" s="5">
        <v>0</v>
      </c>
      <c r="J11" s="1" t="s">
        <v>0</v>
      </c>
      <c r="K11" s="18" t="s">
        <v>4</v>
      </c>
    </row>
    <row r="12" spans="1:15" ht="12" customHeight="1" x14ac:dyDescent="0.2">
      <c r="D12" s="20"/>
      <c r="E12" s="7"/>
      <c r="F12" s="7"/>
      <c r="G12" s="7"/>
      <c r="H12" s="7"/>
      <c r="I12" s="5">
        <v>15</v>
      </c>
      <c r="J12" s="1" t="s">
        <v>0</v>
      </c>
      <c r="K12" s="18" t="s">
        <v>1</v>
      </c>
      <c r="L12" s="14" t="s">
        <v>6</v>
      </c>
      <c r="M12" s="1">
        <f>IF(I14&gt;I12,0,I12-I14)</f>
        <v>0</v>
      </c>
      <c r="N12" s="15" t="s">
        <v>8</v>
      </c>
      <c r="O12" s="45">
        <f>AdherancePercentage(I12,M12)</f>
        <v>1</v>
      </c>
    </row>
    <row r="13" spans="1:15" ht="12" customHeight="1" x14ac:dyDescent="0.2">
      <c r="D13" s="22" t="s">
        <v>12</v>
      </c>
      <c r="E13" s="23"/>
      <c r="F13" s="23"/>
      <c r="G13" s="23"/>
      <c r="H13" s="23"/>
      <c r="I13" s="5">
        <v>15</v>
      </c>
      <c r="J13" s="1" t="s">
        <v>0</v>
      </c>
      <c r="K13" s="18" t="s">
        <v>13</v>
      </c>
      <c r="L13" s="14" t="s">
        <v>6</v>
      </c>
      <c r="M13" s="1">
        <f>ABS(I12-I14)</f>
        <v>0</v>
      </c>
      <c r="N13" s="15" t="s">
        <v>10</v>
      </c>
      <c r="O13" s="45">
        <f>AdherancePercentage(I13,M13)</f>
        <v>1</v>
      </c>
    </row>
    <row r="14" spans="1:15" ht="12" customHeight="1" thickBot="1" x14ac:dyDescent="0.25">
      <c r="D14" s="24"/>
      <c r="E14" s="25"/>
      <c r="F14" s="25"/>
      <c r="G14" s="25"/>
      <c r="H14" s="25"/>
      <c r="I14" s="26">
        <v>15</v>
      </c>
      <c r="J14" s="27" t="s">
        <v>0</v>
      </c>
      <c r="K14" s="28" t="s">
        <v>5</v>
      </c>
    </row>
    <row r="15" spans="1:15" ht="12" customHeight="1" thickBot="1" x14ac:dyDescent="0.25"/>
    <row r="16" spans="1:15" ht="12" customHeight="1" x14ac:dyDescent="0.2">
      <c r="A16" s="1">
        <f>A9+1</f>
        <v>57</v>
      </c>
      <c r="B16" s="8">
        <f>B9+$B$1</f>
        <v>0.59374999999999989</v>
      </c>
      <c r="C16" s="8">
        <f>C9+$B$1</f>
        <v>0.60416666666666663</v>
      </c>
      <c r="D16" s="9"/>
      <c r="E16" s="10"/>
      <c r="F16" s="10"/>
      <c r="G16" s="10"/>
      <c r="H16" s="10"/>
      <c r="I16" s="11">
        <v>15</v>
      </c>
      <c r="J16" s="12" t="s">
        <v>0</v>
      </c>
      <c r="K16" s="13" t="s">
        <v>7</v>
      </c>
    </row>
    <row r="17" spans="1:15" ht="12" customHeight="1" x14ac:dyDescent="0.2">
      <c r="D17" s="16"/>
      <c r="E17" s="17"/>
      <c r="F17" s="17"/>
      <c r="G17" s="17"/>
      <c r="H17" s="17"/>
      <c r="I17" s="5">
        <v>15</v>
      </c>
      <c r="J17" s="1" t="s">
        <v>0</v>
      </c>
      <c r="K17" s="18" t="s">
        <v>9</v>
      </c>
      <c r="L17" s="14" t="s">
        <v>6</v>
      </c>
      <c r="M17" s="5">
        <f>ABS(IF(I19&gt;I17,I17,I19)-IF(I21&gt;I17,I17,I21))</f>
        <v>3</v>
      </c>
      <c r="N17" s="15" t="s">
        <v>11</v>
      </c>
      <c r="O17" s="45">
        <f>AdherancePercentage(I17,M17)</f>
        <v>0.8</v>
      </c>
    </row>
    <row r="18" spans="1:15" ht="12" customHeight="1" x14ac:dyDescent="0.2">
      <c r="D18" s="19"/>
      <c r="G18" s="29" t="s">
        <v>3</v>
      </c>
      <c r="H18" s="29"/>
      <c r="I18" s="5">
        <v>6</v>
      </c>
      <c r="J18" s="1" t="s">
        <v>0</v>
      </c>
      <c r="K18" s="18" t="s">
        <v>4</v>
      </c>
    </row>
    <row r="19" spans="1:15" ht="12" customHeight="1" x14ac:dyDescent="0.2">
      <c r="D19" s="20"/>
      <c r="E19" s="30"/>
      <c r="F19" s="30"/>
      <c r="I19" s="5">
        <v>9</v>
      </c>
      <c r="J19" s="1" t="s">
        <v>0</v>
      </c>
      <c r="K19" s="18" t="s">
        <v>1</v>
      </c>
      <c r="L19" s="14" t="s">
        <v>6</v>
      </c>
      <c r="M19" s="1">
        <f>IF(I21&gt;I19,0,I19-I21)</f>
        <v>3</v>
      </c>
      <c r="N19" s="15" t="s">
        <v>8</v>
      </c>
      <c r="O19" s="45">
        <f>AdherancePercentage(I19,M19)</f>
        <v>0.66666666666666663</v>
      </c>
    </row>
    <row r="20" spans="1:15" ht="12" customHeight="1" x14ac:dyDescent="0.2">
      <c r="D20" s="22" t="s">
        <v>12</v>
      </c>
      <c r="E20" s="23"/>
      <c r="F20" s="23"/>
      <c r="G20" s="23"/>
      <c r="H20" s="23"/>
      <c r="I20" s="5">
        <v>15</v>
      </c>
      <c r="J20" s="1" t="s">
        <v>0</v>
      </c>
      <c r="K20" s="18" t="s">
        <v>13</v>
      </c>
      <c r="L20" s="14" t="s">
        <v>6</v>
      </c>
      <c r="M20" s="1">
        <f>ABS(I19-I21)</f>
        <v>3</v>
      </c>
      <c r="N20" s="15" t="s">
        <v>10</v>
      </c>
      <c r="O20" s="45">
        <f>AdherancePercentage(I20,M20)</f>
        <v>0.8</v>
      </c>
    </row>
    <row r="21" spans="1:15" ht="12" customHeight="1" thickBot="1" x14ac:dyDescent="0.25">
      <c r="D21" s="24"/>
      <c r="E21" s="25"/>
      <c r="F21" s="31"/>
      <c r="G21" s="31"/>
      <c r="H21" s="31"/>
      <c r="I21" s="26">
        <v>6</v>
      </c>
      <c r="J21" s="27"/>
      <c r="K21" s="28" t="s">
        <v>5</v>
      </c>
    </row>
    <row r="22" spans="1:15" ht="12" customHeight="1" thickBot="1" x14ac:dyDescent="0.25"/>
    <row r="23" spans="1:15" ht="12" customHeight="1" x14ac:dyDescent="0.2">
      <c r="A23" s="1">
        <f t="shared" ref="A23:A86" si="0">A16+1</f>
        <v>58</v>
      </c>
      <c r="B23" s="8">
        <f>B16+$B$1</f>
        <v>0.60416666666666652</v>
      </c>
      <c r="C23" s="8">
        <f>C16+$B$1</f>
        <v>0.61458333333333326</v>
      </c>
      <c r="D23" s="9"/>
      <c r="E23" s="10"/>
      <c r="F23" s="10"/>
      <c r="G23" s="10"/>
      <c r="H23" s="10"/>
      <c r="I23" s="11">
        <v>15</v>
      </c>
      <c r="J23" s="12" t="s">
        <v>0</v>
      </c>
      <c r="K23" s="13" t="s">
        <v>7</v>
      </c>
    </row>
    <row r="24" spans="1:15" ht="12" customHeight="1" x14ac:dyDescent="0.2">
      <c r="D24" s="16"/>
      <c r="E24" s="17"/>
      <c r="F24" s="17"/>
      <c r="G24" s="17"/>
      <c r="H24" s="17"/>
      <c r="I24" s="5">
        <v>15</v>
      </c>
      <c r="J24" s="1" t="s">
        <v>0</v>
      </c>
      <c r="K24" s="18" t="s">
        <v>9</v>
      </c>
      <c r="L24" s="14" t="s">
        <v>6</v>
      </c>
      <c r="M24" s="5">
        <f>ABS(IF(I26&gt;I24,I24,I26)-IF(I28&gt;I24,I24,I28))</f>
        <v>0</v>
      </c>
      <c r="N24" s="15" t="s">
        <v>11</v>
      </c>
      <c r="O24" s="45">
        <f>AdherancePercentage(I24,M24)</f>
        <v>1</v>
      </c>
    </row>
    <row r="25" spans="1:15" ht="12" customHeight="1" x14ac:dyDescent="0.2">
      <c r="D25" s="19"/>
      <c r="E25" s="29" t="s">
        <v>3</v>
      </c>
      <c r="F25" s="29"/>
      <c r="I25" s="5">
        <v>6</v>
      </c>
      <c r="J25" s="1" t="s">
        <v>0</v>
      </c>
      <c r="K25" s="18" t="s">
        <v>4</v>
      </c>
    </row>
    <row r="26" spans="1:15" ht="12" customHeight="1" x14ac:dyDescent="0.2">
      <c r="D26" s="20"/>
      <c r="G26" s="7"/>
      <c r="H26" s="7"/>
      <c r="I26" s="5">
        <v>9</v>
      </c>
      <c r="J26" s="1" t="s">
        <v>0</v>
      </c>
      <c r="K26" s="18" t="s">
        <v>1</v>
      </c>
      <c r="L26" s="14" t="s">
        <v>6</v>
      </c>
      <c r="M26" s="1">
        <f>IF(I28&gt;I26,0,I26-I28)</f>
        <v>0</v>
      </c>
      <c r="N26" s="15" t="s">
        <v>8</v>
      </c>
      <c r="O26" s="45">
        <f>AdherancePercentage(I26,M26)</f>
        <v>1</v>
      </c>
    </row>
    <row r="27" spans="1:15" ht="12" customHeight="1" x14ac:dyDescent="0.2">
      <c r="D27" s="22" t="s">
        <v>12</v>
      </c>
      <c r="E27" s="23"/>
      <c r="F27" s="23"/>
      <c r="G27" s="23"/>
      <c r="H27" s="23"/>
      <c r="I27" s="5">
        <v>15</v>
      </c>
      <c r="J27" s="1" t="s">
        <v>0</v>
      </c>
      <c r="K27" s="18" t="s">
        <v>13</v>
      </c>
      <c r="L27" s="14" t="s">
        <v>6</v>
      </c>
      <c r="M27" s="1">
        <f>ABS(I26-I28)</f>
        <v>0</v>
      </c>
      <c r="N27" s="15" t="s">
        <v>10</v>
      </c>
      <c r="O27" s="45">
        <f>AdherancePercentage(I27,M27)</f>
        <v>1</v>
      </c>
    </row>
    <row r="28" spans="1:15" ht="12" customHeight="1" thickBot="1" x14ac:dyDescent="0.25">
      <c r="D28" s="32"/>
      <c r="E28" s="25"/>
      <c r="F28" s="25"/>
      <c r="G28" s="25"/>
      <c r="H28" s="31"/>
      <c r="I28" s="26">
        <v>9</v>
      </c>
      <c r="J28" s="27"/>
      <c r="K28" s="28" t="s">
        <v>5</v>
      </c>
    </row>
    <row r="29" spans="1:15" ht="12" customHeight="1" thickBot="1" x14ac:dyDescent="0.25">
      <c r="I29" s="6"/>
      <c r="J29" s="4"/>
    </row>
    <row r="30" spans="1:15" ht="12" customHeight="1" x14ac:dyDescent="0.2">
      <c r="A30" s="1">
        <f t="shared" si="0"/>
        <v>59</v>
      </c>
      <c r="B30" s="8">
        <f>B23+$B$1</f>
        <v>0.61458333333333315</v>
      </c>
      <c r="C30" s="8">
        <f>C23+$B$1</f>
        <v>0.62499999999999989</v>
      </c>
      <c r="D30" s="9"/>
      <c r="E30" s="10"/>
      <c r="F30" s="10"/>
      <c r="G30" s="10"/>
      <c r="H30" s="10"/>
      <c r="I30" s="11">
        <v>15</v>
      </c>
      <c r="J30" s="12" t="s">
        <v>0</v>
      </c>
      <c r="K30" s="13" t="s">
        <v>7</v>
      </c>
    </row>
    <row r="31" spans="1:15" ht="12" customHeight="1" x14ac:dyDescent="0.2">
      <c r="D31" s="16"/>
      <c r="E31" s="17"/>
      <c r="F31" s="17"/>
      <c r="G31" s="17"/>
      <c r="H31" s="17"/>
      <c r="I31" s="5">
        <v>15</v>
      </c>
      <c r="J31" s="1" t="s">
        <v>0</v>
      </c>
      <c r="K31" s="18" t="s">
        <v>9</v>
      </c>
      <c r="L31" s="14" t="s">
        <v>6</v>
      </c>
      <c r="M31" s="5">
        <f>ABS(IF(I33&gt;I31,I31,I33)-IF(I35&gt;I31,I31,I35))</f>
        <v>3</v>
      </c>
      <c r="N31" s="15" t="s">
        <v>11</v>
      </c>
      <c r="O31" s="45">
        <f>AdherancePercentage(I31,M31)</f>
        <v>0.8</v>
      </c>
    </row>
    <row r="32" spans="1:15" ht="12" customHeight="1" x14ac:dyDescent="0.2">
      <c r="D32" s="19"/>
      <c r="E32" s="3"/>
      <c r="F32" s="2"/>
      <c r="G32" s="29" t="s">
        <v>3</v>
      </c>
      <c r="H32" s="29"/>
      <c r="I32" s="5">
        <v>6</v>
      </c>
      <c r="J32" s="1" t="s">
        <v>0</v>
      </c>
      <c r="K32" s="18" t="s">
        <v>4</v>
      </c>
    </row>
    <row r="33" spans="1:15" ht="12" customHeight="1" x14ac:dyDescent="0.2">
      <c r="D33" s="20"/>
      <c r="E33" s="30"/>
      <c r="F33" s="30"/>
      <c r="I33" s="5">
        <v>9</v>
      </c>
      <c r="J33" s="1" t="s">
        <v>0</v>
      </c>
      <c r="K33" s="18" t="s">
        <v>1</v>
      </c>
      <c r="L33" s="14" t="s">
        <v>6</v>
      </c>
      <c r="M33" s="1">
        <f>IF(I35&gt;I33,0,I33-I35)</f>
        <v>0</v>
      </c>
      <c r="N33" s="15" t="s">
        <v>8</v>
      </c>
      <c r="O33" s="45">
        <f>AdherancePercentage(I33,M33)</f>
        <v>1</v>
      </c>
    </row>
    <row r="34" spans="1:15" ht="12" customHeight="1" x14ac:dyDescent="0.2">
      <c r="D34" s="22" t="s">
        <v>12</v>
      </c>
      <c r="E34" s="23"/>
      <c r="F34" s="23"/>
      <c r="G34" s="23"/>
      <c r="H34" s="23"/>
      <c r="I34" s="5">
        <v>15</v>
      </c>
      <c r="J34" s="1" t="s">
        <v>0</v>
      </c>
      <c r="K34" s="18" t="s">
        <v>13</v>
      </c>
      <c r="L34" s="14" t="s">
        <v>6</v>
      </c>
      <c r="M34" s="1">
        <f>ABS(I33-I35)</f>
        <v>3</v>
      </c>
      <c r="N34" s="15" t="s">
        <v>10</v>
      </c>
      <c r="O34" s="45">
        <f>AdherancePercentage(I34,M34)</f>
        <v>0.8</v>
      </c>
    </row>
    <row r="35" spans="1:15" ht="12" customHeight="1" thickBot="1" x14ac:dyDescent="0.25">
      <c r="D35" s="24"/>
      <c r="E35" s="25"/>
      <c r="F35" s="25"/>
      <c r="G35" s="25"/>
      <c r="H35" s="27"/>
      <c r="I35" s="26">
        <v>12</v>
      </c>
      <c r="J35" s="27"/>
      <c r="K35" s="28" t="s">
        <v>5</v>
      </c>
    </row>
    <row r="36" spans="1:15" ht="12" customHeight="1" thickBot="1" x14ac:dyDescent="0.25"/>
    <row r="37" spans="1:15" ht="12" customHeight="1" x14ac:dyDescent="0.2">
      <c r="A37" s="1">
        <f t="shared" si="0"/>
        <v>60</v>
      </c>
      <c r="B37" s="8">
        <f>B30+$B$1</f>
        <v>0.62499999999999978</v>
      </c>
      <c r="C37" s="8">
        <f>C30+$B$1</f>
        <v>0.63541666666666652</v>
      </c>
      <c r="D37" s="9"/>
      <c r="E37" s="10"/>
      <c r="F37" s="10"/>
      <c r="G37" s="10"/>
      <c r="H37" s="10"/>
      <c r="I37" s="11">
        <v>15</v>
      </c>
      <c r="J37" s="12" t="s">
        <v>0</v>
      </c>
      <c r="K37" s="13" t="s">
        <v>7</v>
      </c>
    </row>
    <row r="38" spans="1:15" ht="12" customHeight="1" x14ac:dyDescent="0.2">
      <c r="D38" s="16"/>
      <c r="E38" s="17"/>
      <c r="F38" s="17"/>
      <c r="G38" s="17"/>
      <c r="H38" s="17"/>
      <c r="I38" s="5">
        <v>15</v>
      </c>
      <c r="J38" s="1" t="s">
        <v>0</v>
      </c>
      <c r="K38" s="18" t="s">
        <v>9</v>
      </c>
      <c r="L38" s="14" t="s">
        <v>6</v>
      </c>
      <c r="M38" s="5">
        <f>ABS(IF(I40&gt;I38,I38,I40)-IF(I42&gt;I38,I38,I42))</f>
        <v>6</v>
      </c>
      <c r="N38" s="15" t="s">
        <v>11</v>
      </c>
      <c r="O38" s="45">
        <f>AdherancePercentage(I38,M38)</f>
        <v>0.6</v>
      </c>
    </row>
    <row r="39" spans="1:15" ht="12" customHeight="1" x14ac:dyDescent="0.2">
      <c r="D39" s="19"/>
      <c r="F39" s="33"/>
      <c r="G39" s="33" t="s">
        <v>14</v>
      </c>
      <c r="H39" s="33"/>
      <c r="I39" s="5">
        <v>9</v>
      </c>
      <c r="J39" s="1" t="s">
        <v>0</v>
      </c>
      <c r="K39" s="18" t="s">
        <v>4</v>
      </c>
    </row>
    <row r="40" spans="1:15" ht="12" customHeight="1" x14ac:dyDescent="0.2">
      <c r="D40" s="20"/>
      <c r="E40" s="30"/>
      <c r="I40" s="5">
        <v>6</v>
      </c>
      <c r="J40" s="1" t="s">
        <v>0</v>
      </c>
      <c r="K40" s="18" t="s">
        <v>1</v>
      </c>
      <c r="L40" s="14" t="s">
        <v>6</v>
      </c>
      <c r="M40" s="1">
        <f>IF(I42&gt;I40,0,I40-I42)</f>
        <v>0</v>
      </c>
      <c r="N40" s="15" t="s">
        <v>8</v>
      </c>
      <c r="O40" s="45">
        <f>AdherancePercentage(I40,M40)</f>
        <v>1</v>
      </c>
    </row>
    <row r="41" spans="1:15" ht="12" customHeight="1" x14ac:dyDescent="0.2">
      <c r="D41" s="22" t="s">
        <v>12</v>
      </c>
      <c r="E41" s="23"/>
      <c r="F41" s="23"/>
      <c r="G41" s="23"/>
      <c r="H41" s="23"/>
      <c r="I41" s="5">
        <v>15</v>
      </c>
      <c r="J41" s="1" t="s">
        <v>0</v>
      </c>
      <c r="K41" s="18" t="s">
        <v>13</v>
      </c>
      <c r="L41" s="14" t="s">
        <v>6</v>
      </c>
      <c r="M41" s="1">
        <f>ABS(I40-I42)</f>
        <v>6</v>
      </c>
      <c r="N41" s="15" t="s">
        <v>10</v>
      </c>
      <c r="O41" s="45">
        <f>AdherancePercentage(I41,M41)</f>
        <v>0.6</v>
      </c>
    </row>
    <row r="42" spans="1:15" ht="12" customHeight="1" thickBot="1" x14ac:dyDescent="0.25">
      <c r="D42" s="24"/>
      <c r="E42" s="25"/>
      <c r="F42" s="25"/>
      <c r="G42" s="25"/>
      <c r="H42" s="27"/>
      <c r="I42" s="26">
        <v>12</v>
      </c>
      <c r="J42" s="27"/>
      <c r="K42" s="28" t="s">
        <v>5</v>
      </c>
    </row>
    <row r="43" spans="1:15" ht="12" customHeight="1" thickBot="1" x14ac:dyDescent="0.25"/>
    <row r="44" spans="1:15" ht="12" customHeight="1" x14ac:dyDescent="0.2">
      <c r="A44" s="1">
        <f t="shared" si="0"/>
        <v>61</v>
      </c>
      <c r="B44" s="8">
        <f>B37+$B$1</f>
        <v>0.63541666666666641</v>
      </c>
      <c r="C44" s="8">
        <f>C37+$B$1</f>
        <v>0.64583333333333315</v>
      </c>
      <c r="D44" s="9"/>
      <c r="E44" s="10"/>
      <c r="F44" s="10"/>
      <c r="G44" s="10"/>
      <c r="H44" s="10"/>
      <c r="I44" s="11">
        <v>15</v>
      </c>
      <c r="J44" s="12" t="s">
        <v>0</v>
      </c>
      <c r="K44" s="13" t="s">
        <v>7</v>
      </c>
    </row>
    <row r="45" spans="1:15" ht="12" customHeight="1" x14ac:dyDescent="0.2">
      <c r="D45" s="16"/>
      <c r="I45" s="5">
        <v>3</v>
      </c>
      <c r="J45" s="1" t="s">
        <v>0</v>
      </c>
      <c r="K45" s="18" t="s">
        <v>9</v>
      </c>
      <c r="L45" s="14" t="s">
        <v>6</v>
      </c>
      <c r="M45" s="5">
        <f>ABS(IF(I47&gt;I45,I45,I47)-IF(I49&gt;I45,I45,I49))</f>
        <v>3</v>
      </c>
      <c r="N45" s="15" t="s">
        <v>11</v>
      </c>
      <c r="O45" s="45">
        <f>AdherancePercentage(I45,M45)</f>
        <v>0</v>
      </c>
    </row>
    <row r="46" spans="1:15" ht="12" customHeight="1" x14ac:dyDescent="0.2">
      <c r="D46" s="34" t="s">
        <v>14</v>
      </c>
      <c r="E46" s="29" t="s">
        <v>15</v>
      </c>
      <c r="F46" s="29"/>
      <c r="G46" s="29"/>
      <c r="H46" s="29"/>
      <c r="I46" s="5">
        <v>15</v>
      </c>
      <c r="J46" s="1" t="s">
        <v>0</v>
      </c>
      <c r="K46" s="18" t="s">
        <v>4</v>
      </c>
    </row>
    <row r="47" spans="1:15" ht="12" customHeight="1" x14ac:dyDescent="0.2">
      <c r="D47" s="19"/>
      <c r="I47" s="5">
        <v>0</v>
      </c>
      <c r="J47" s="1" t="s">
        <v>0</v>
      </c>
      <c r="K47" s="18" t="s">
        <v>1</v>
      </c>
      <c r="L47" s="14" t="s">
        <v>6</v>
      </c>
      <c r="M47" s="1">
        <f>IF(I49&gt;I47,0,I47-I49)</f>
        <v>0</v>
      </c>
      <c r="N47" s="15" t="s">
        <v>8</v>
      </c>
      <c r="O47" s="45">
        <f>AdherancePercentage(I47,M47)</f>
        <v>1</v>
      </c>
    </row>
    <row r="48" spans="1:15" ht="12" customHeight="1" x14ac:dyDescent="0.2">
      <c r="D48" s="22" t="s">
        <v>12</v>
      </c>
      <c r="E48" s="23"/>
      <c r="F48" s="23"/>
      <c r="G48" s="23"/>
      <c r="H48" s="23"/>
      <c r="I48" s="5">
        <v>15</v>
      </c>
      <c r="J48" s="1" t="s">
        <v>0</v>
      </c>
      <c r="K48" s="18" t="s">
        <v>13</v>
      </c>
      <c r="L48" s="14" t="s">
        <v>6</v>
      </c>
      <c r="M48" s="1">
        <f>ABS(I47-I49)</f>
        <v>6</v>
      </c>
      <c r="N48" s="15" t="s">
        <v>10</v>
      </c>
      <c r="O48" s="45">
        <f>AdherancePercentage(I48,M48)</f>
        <v>0.6</v>
      </c>
    </row>
    <row r="49" spans="1:15" ht="12" customHeight="1" thickBot="1" x14ac:dyDescent="0.25">
      <c r="D49" s="24"/>
      <c r="E49" s="25"/>
      <c r="F49" s="27"/>
      <c r="G49" s="27"/>
      <c r="H49" s="27"/>
      <c r="I49" s="26">
        <v>6</v>
      </c>
      <c r="J49" s="27"/>
      <c r="K49" s="28" t="s">
        <v>5</v>
      </c>
    </row>
    <row r="50" spans="1:15" ht="12" customHeight="1" thickBot="1" x14ac:dyDescent="0.25">
      <c r="I50" s="6"/>
      <c r="J50" s="4"/>
    </row>
    <row r="51" spans="1:15" ht="12" customHeight="1" x14ac:dyDescent="0.2">
      <c r="A51" s="1">
        <f t="shared" si="0"/>
        <v>62</v>
      </c>
      <c r="B51" s="8">
        <f>B44+$B$1</f>
        <v>0.64583333333333304</v>
      </c>
      <c r="C51" s="8">
        <f>C44+$B$1</f>
        <v>0.65624999999999978</v>
      </c>
      <c r="D51" s="9"/>
      <c r="E51" s="10"/>
      <c r="F51" s="10"/>
      <c r="G51" s="10"/>
      <c r="H51" s="10"/>
      <c r="I51" s="11">
        <v>15</v>
      </c>
      <c r="J51" s="12" t="s">
        <v>0</v>
      </c>
      <c r="K51" s="13" t="s">
        <v>7</v>
      </c>
    </row>
    <row r="52" spans="1:15" ht="12" customHeight="1" x14ac:dyDescent="0.2">
      <c r="B52" s="8"/>
      <c r="C52" s="8"/>
      <c r="D52" s="19"/>
      <c r="I52" s="5">
        <v>0</v>
      </c>
      <c r="J52" s="1" t="s">
        <v>0</v>
      </c>
      <c r="K52" s="18" t="s">
        <v>9</v>
      </c>
      <c r="L52" s="14" t="s">
        <v>6</v>
      </c>
      <c r="M52" s="5">
        <f>ABS(IF(I54&gt;I52,I52,I54)-IF(I56&gt;I52,I52,I56))</f>
        <v>0</v>
      </c>
      <c r="N52" s="15" t="s">
        <v>11</v>
      </c>
      <c r="O52" s="45">
        <f>AdherancePercentage(I52,M52)</f>
        <v>1</v>
      </c>
    </row>
    <row r="53" spans="1:15" ht="12" customHeight="1" x14ac:dyDescent="0.2">
      <c r="D53" s="35"/>
      <c r="E53" s="29" t="s">
        <v>15</v>
      </c>
      <c r="F53" s="29"/>
      <c r="G53" s="29"/>
      <c r="H53" s="29"/>
      <c r="I53" s="5">
        <v>15</v>
      </c>
      <c r="J53" s="1" t="s">
        <v>0</v>
      </c>
      <c r="K53" s="18" t="s">
        <v>4</v>
      </c>
    </row>
    <row r="54" spans="1:15" ht="12" customHeight="1" x14ac:dyDescent="0.2">
      <c r="D54" s="19"/>
      <c r="I54" s="5">
        <v>0</v>
      </c>
      <c r="J54" s="1" t="s">
        <v>0</v>
      </c>
      <c r="K54" s="18" t="s">
        <v>1</v>
      </c>
      <c r="L54" s="14" t="s">
        <v>6</v>
      </c>
      <c r="M54" s="1">
        <f>IF(I56&gt;I54,0,I54-I56)</f>
        <v>0</v>
      </c>
      <c r="N54" s="15" t="s">
        <v>8</v>
      </c>
      <c r="O54" s="45">
        <f>AdherancePercentage(I54,M54)</f>
        <v>1</v>
      </c>
    </row>
    <row r="55" spans="1:15" ht="12" customHeight="1" x14ac:dyDescent="0.2">
      <c r="D55" s="22" t="s">
        <v>12</v>
      </c>
      <c r="E55" s="23"/>
      <c r="F55" s="23"/>
      <c r="G55" s="23"/>
      <c r="H55" s="23"/>
      <c r="I55" s="5">
        <v>15</v>
      </c>
      <c r="J55" s="1" t="s">
        <v>0</v>
      </c>
      <c r="K55" s="18" t="s">
        <v>13</v>
      </c>
      <c r="L55" s="14" t="s">
        <v>6</v>
      </c>
      <c r="M55" s="1">
        <f>ABS(I54-I56)</f>
        <v>3</v>
      </c>
      <c r="N55" s="15" t="s">
        <v>10</v>
      </c>
      <c r="O55" s="45">
        <f>AdherancePercentage(I55,M55)</f>
        <v>0.8</v>
      </c>
    </row>
    <row r="56" spans="1:15" ht="12" customHeight="1" thickBot="1" x14ac:dyDescent="0.25">
      <c r="D56" s="32"/>
      <c r="E56" s="25"/>
      <c r="F56" s="27"/>
      <c r="G56" s="27"/>
      <c r="H56" s="27"/>
      <c r="I56" s="26">
        <v>3</v>
      </c>
      <c r="J56" s="27"/>
      <c r="K56" s="28" t="s">
        <v>5</v>
      </c>
    </row>
    <row r="57" spans="1:15" ht="12" customHeight="1" thickBot="1" x14ac:dyDescent="0.25">
      <c r="I57" s="6"/>
      <c r="J57" s="4"/>
    </row>
    <row r="58" spans="1:15" ht="12" customHeight="1" x14ac:dyDescent="0.2">
      <c r="A58" s="1">
        <f t="shared" si="0"/>
        <v>63</v>
      </c>
      <c r="B58" s="8">
        <f>B51+$B$1</f>
        <v>0.65624999999999967</v>
      </c>
      <c r="C58" s="8">
        <f>C51+$B$1</f>
        <v>0.66666666666666641</v>
      </c>
      <c r="D58" s="9"/>
      <c r="E58" s="10"/>
      <c r="F58" s="10"/>
      <c r="G58" s="10"/>
      <c r="H58" s="10"/>
      <c r="I58" s="11">
        <v>15</v>
      </c>
      <c r="J58" s="12" t="s">
        <v>0</v>
      </c>
      <c r="K58" s="13" t="s">
        <v>7</v>
      </c>
    </row>
    <row r="59" spans="1:15" ht="12" customHeight="1" x14ac:dyDescent="0.2">
      <c r="D59" s="19"/>
      <c r="G59" s="17"/>
      <c r="H59" s="17"/>
      <c r="I59" s="5">
        <v>6</v>
      </c>
      <c r="J59" s="1" t="s">
        <v>0</v>
      </c>
      <c r="K59" s="18" t="s">
        <v>9</v>
      </c>
      <c r="L59" s="14" t="s">
        <v>6</v>
      </c>
      <c r="M59" s="5">
        <f>ABS(IF(I61&gt;I59,I59,I61)-IF(I63&gt;I59,I59,I63))</f>
        <v>3</v>
      </c>
      <c r="N59" s="15" t="s">
        <v>11</v>
      </c>
      <c r="O59" s="45">
        <f>AdherancePercentage(I59,M59)</f>
        <v>0.5</v>
      </c>
    </row>
    <row r="60" spans="1:15" ht="12" customHeight="1" x14ac:dyDescent="0.2">
      <c r="D60" s="35"/>
      <c r="E60" s="29" t="s">
        <v>15</v>
      </c>
      <c r="F60" s="29"/>
      <c r="G60" s="33" t="s">
        <v>14</v>
      </c>
      <c r="I60" s="5">
        <v>12</v>
      </c>
      <c r="J60" s="1" t="s">
        <v>0</v>
      </c>
      <c r="K60" s="18" t="s">
        <v>4</v>
      </c>
    </row>
    <row r="61" spans="1:15" ht="12" customHeight="1" x14ac:dyDescent="0.2">
      <c r="D61" s="19"/>
      <c r="H61" s="30"/>
      <c r="I61" s="5">
        <v>3</v>
      </c>
      <c r="J61" s="1" t="s">
        <v>0</v>
      </c>
      <c r="K61" s="18" t="s">
        <v>1</v>
      </c>
      <c r="L61" s="14" t="s">
        <v>6</v>
      </c>
      <c r="M61" s="1">
        <f>IF(I63&gt;I61,0,I61-I63)</f>
        <v>0</v>
      </c>
      <c r="N61" s="15" t="s">
        <v>8</v>
      </c>
      <c r="O61" s="45">
        <f>AdherancePercentage(I61,M61)</f>
        <v>1</v>
      </c>
    </row>
    <row r="62" spans="1:15" ht="12" customHeight="1" x14ac:dyDescent="0.2">
      <c r="D62" s="22" t="s">
        <v>12</v>
      </c>
      <c r="E62" s="23"/>
      <c r="F62" s="23"/>
      <c r="G62" s="23"/>
      <c r="H62" s="23"/>
      <c r="I62" s="5">
        <v>15</v>
      </c>
      <c r="J62" s="1" t="s">
        <v>0</v>
      </c>
      <c r="K62" s="18" t="s">
        <v>13</v>
      </c>
      <c r="L62" s="14" t="s">
        <v>6</v>
      </c>
      <c r="M62" s="1">
        <f>ABS(I61-I63)</f>
        <v>6</v>
      </c>
      <c r="N62" s="15" t="s">
        <v>10</v>
      </c>
      <c r="O62" s="45">
        <f>AdherancePercentage(I62,M62)</f>
        <v>0.6</v>
      </c>
    </row>
    <row r="63" spans="1:15" ht="12" customHeight="1" thickBot="1" x14ac:dyDescent="0.25">
      <c r="D63" s="32"/>
      <c r="E63" s="27"/>
      <c r="F63" s="25"/>
      <c r="G63" s="25"/>
      <c r="H63" s="25"/>
      <c r="I63" s="26">
        <v>9</v>
      </c>
      <c r="J63" s="27"/>
      <c r="K63" s="28" t="s">
        <v>5</v>
      </c>
    </row>
    <row r="64" spans="1:15" ht="12" customHeight="1" thickBot="1" x14ac:dyDescent="0.25">
      <c r="I64" s="36"/>
    </row>
    <row r="65" spans="1:15" ht="12" customHeight="1" x14ac:dyDescent="0.2">
      <c r="A65" s="1">
        <f t="shared" si="0"/>
        <v>64</v>
      </c>
      <c r="B65" s="8">
        <f>B58+$B$1</f>
        <v>0.6666666666666663</v>
      </c>
      <c r="C65" s="8">
        <f>C58+$B$1</f>
        <v>0.67708333333333304</v>
      </c>
      <c r="D65" s="9"/>
      <c r="E65" s="10"/>
      <c r="F65" s="10"/>
      <c r="G65" s="10"/>
      <c r="H65" s="10"/>
      <c r="I65" s="11">
        <v>15</v>
      </c>
      <c r="J65" s="12" t="s">
        <v>0</v>
      </c>
      <c r="K65" s="13" t="s">
        <v>7</v>
      </c>
    </row>
    <row r="66" spans="1:15" ht="12" customHeight="1" x14ac:dyDescent="0.2">
      <c r="D66" s="16"/>
      <c r="E66" s="17"/>
      <c r="F66" s="17"/>
      <c r="G66" s="17"/>
      <c r="H66" s="17"/>
      <c r="I66" s="5">
        <v>15</v>
      </c>
      <c r="J66" s="1" t="s">
        <v>0</v>
      </c>
      <c r="K66" s="18" t="s">
        <v>9</v>
      </c>
      <c r="L66" s="14" t="s">
        <v>6</v>
      </c>
      <c r="M66" s="5">
        <f>ABS(IF(I68&gt;I66,I66,I68)-IF(I70&gt;I66,I66,I70))</f>
        <v>3</v>
      </c>
      <c r="N66" s="15" t="s">
        <v>11</v>
      </c>
      <c r="O66" s="45">
        <f>AdherancePercentage(I66,M66)</f>
        <v>0.8</v>
      </c>
    </row>
    <row r="67" spans="1:15" ht="12" customHeight="1" x14ac:dyDescent="0.2">
      <c r="D67" s="19"/>
      <c r="E67" s="37" t="s">
        <v>16</v>
      </c>
      <c r="I67" s="5">
        <v>3</v>
      </c>
      <c r="J67" s="1" t="s">
        <v>0</v>
      </c>
      <c r="K67" s="18" t="s">
        <v>4</v>
      </c>
    </row>
    <row r="68" spans="1:15" ht="12" customHeight="1" x14ac:dyDescent="0.2">
      <c r="D68" s="20"/>
      <c r="F68" s="30"/>
      <c r="G68" s="30"/>
      <c r="H68" s="7"/>
      <c r="I68" s="5">
        <v>12</v>
      </c>
      <c r="J68" s="1" t="s">
        <v>0</v>
      </c>
      <c r="K68" s="18" t="s">
        <v>1</v>
      </c>
      <c r="L68" s="14" t="s">
        <v>6</v>
      </c>
      <c r="M68" s="1">
        <f>IF(I70&gt;I68,0,I68-I70)</f>
        <v>0</v>
      </c>
      <c r="N68" s="15" t="s">
        <v>8</v>
      </c>
      <c r="O68" s="45">
        <f>AdherancePercentage(I68,M68)</f>
        <v>1</v>
      </c>
    </row>
    <row r="69" spans="1:15" ht="12" customHeight="1" x14ac:dyDescent="0.2">
      <c r="D69" s="22" t="s">
        <v>12</v>
      </c>
      <c r="E69" s="23"/>
      <c r="F69" s="23"/>
      <c r="G69" s="23"/>
      <c r="H69" s="23"/>
      <c r="I69" s="5">
        <v>15</v>
      </c>
      <c r="J69" s="1" t="s">
        <v>0</v>
      </c>
      <c r="K69" s="18" t="s">
        <v>13</v>
      </c>
      <c r="L69" s="14" t="s">
        <v>6</v>
      </c>
      <c r="M69" s="1">
        <f>ABS(I68-I70)</f>
        <v>3</v>
      </c>
      <c r="N69" s="15" t="s">
        <v>10</v>
      </c>
      <c r="O69" s="45">
        <f>AdherancePercentage(I69,M69)</f>
        <v>0.8</v>
      </c>
    </row>
    <row r="70" spans="1:15" ht="12" customHeight="1" thickBot="1" x14ac:dyDescent="0.25">
      <c r="D70" s="24"/>
      <c r="E70" s="25"/>
      <c r="F70" s="25"/>
      <c r="G70" s="25"/>
      <c r="H70" s="25"/>
      <c r="I70" s="26">
        <v>15</v>
      </c>
      <c r="J70" s="27"/>
      <c r="K70" s="28" t="s">
        <v>5</v>
      </c>
    </row>
    <row r="71" spans="1:15" ht="12" customHeight="1" thickBot="1" x14ac:dyDescent="0.25">
      <c r="I71" s="6"/>
      <c r="J71" s="4"/>
    </row>
    <row r="72" spans="1:15" ht="12" customHeight="1" x14ac:dyDescent="0.2">
      <c r="A72" s="1">
        <f t="shared" si="0"/>
        <v>65</v>
      </c>
      <c r="B72" s="8">
        <f>B65+$B$1</f>
        <v>0.67708333333333293</v>
      </c>
      <c r="C72" s="8">
        <f>C65+$B$1</f>
        <v>0.68749999999999967</v>
      </c>
      <c r="D72" s="9"/>
      <c r="E72" s="10"/>
      <c r="F72" s="10"/>
      <c r="G72" s="10"/>
      <c r="H72" s="10"/>
      <c r="I72" s="11">
        <v>15</v>
      </c>
      <c r="J72" s="12" t="s">
        <v>0</v>
      </c>
      <c r="K72" s="13" t="s">
        <v>7</v>
      </c>
    </row>
    <row r="73" spans="1:15" ht="12" customHeight="1" x14ac:dyDescent="0.2">
      <c r="D73" s="16"/>
      <c r="E73" s="17"/>
      <c r="F73" s="17"/>
      <c r="I73" s="5">
        <v>9</v>
      </c>
      <c r="J73" s="1" t="s">
        <v>0</v>
      </c>
      <c r="K73" s="18" t="s">
        <v>9</v>
      </c>
      <c r="L73" s="14" t="s">
        <v>6</v>
      </c>
      <c r="M73" s="5">
        <f>ABS(IF(I75&gt;I73,I73,I75)-IF(I77&gt;I73,I73,I77))</f>
        <v>0</v>
      </c>
      <c r="N73" s="15" t="s">
        <v>11</v>
      </c>
      <c r="O73" s="45">
        <f>AdherancePercentage(I73,M73)</f>
        <v>1</v>
      </c>
    </row>
    <row r="74" spans="1:15" ht="12" customHeight="1" x14ac:dyDescent="0.2">
      <c r="D74" s="34" t="s">
        <v>14</v>
      </c>
      <c r="I74" s="5">
        <v>3</v>
      </c>
      <c r="J74" s="1" t="s">
        <v>0</v>
      </c>
      <c r="K74" s="18" t="s">
        <v>4</v>
      </c>
    </row>
    <row r="75" spans="1:15" ht="12" customHeight="1" x14ac:dyDescent="0.2">
      <c r="D75" s="19"/>
      <c r="E75" s="7"/>
      <c r="F75" s="7"/>
      <c r="G75" s="47" t="s">
        <v>22</v>
      </c>
      <c r="H75" s="46"/>
      <c r="I75" s="5">
        <v>12</v>
      </c>
      <c r="J75" s="1" t="s">
        <v>0</v>
      </c>
      <c r="K75" s="18" t="s">
        <v>1</v>
      </c>
      <c r="L75" s="14" t="s">
        <v>6</v>
      </c>
      <c r="M75" s="1">
        <f>IF(I77&gt;I75,0,I75-I77)</f>
        <v>0</v>
      </c>
      <c r="N75" s="15" t="s">
        <v>8</v>
      </c>
      <c r="O75" s="45">
        <f>AdherancePercentage(I75,M75)</f>
        <v>1</v>
      </c>
    </row>
    <row r="76" spans="1:15" ht="12" customHeight="1" x14ac:dyDescent="0.2">
      <c r="D76" s="22" t="s">
        <v>12</v>
      </c>
      <c r="E76" s="23"/>
      <c r="F76" s="23"/>
      <c r="G76" s="23"/>
      <c r="H76" s="23"/>
      <c r="I76" s="5">
        <v>15</v>
      </c>
      <c r="J76" s="1" t="s">
        <v>0</v>
      </c>
      <c r="K76" s="18" t="s">
        <v>13</v>
      </c>
      <c r="L76" s="14" t="s">
        <v>6</v>
      </c>
      <c r="M76" s="1">
        <f>ABS(I75-I77)</f>
        <v>0</v>
      </c>
      <c r="N76" s="15" t="s">
        <v>10</v>
      </c>
      <c r="O76" s="45">
        <f>AdherancePercentage(I76,M76)</f>
        <v>1</v>
      </c>
    </row>
    <row r="77" spans="1:15" ht="12" customHeight="1" thickBot="1" x14ac:dyDescent="0.25">
      <c r="D77" s="24"/>
      <c r="E77" s="25"/>
      <c r="F77" s="25"/>
      <c r="G77" s="25"/>
      <c r="H77" s="27"/>
      <c r="I77" s="26">
        <v>12</v>
      </c>
      <c r="J77" s="27"/>
      <c r="K77" s="28" t="s">
        <v>5</v>
      </c>
    </row>
    <row r="78" spans="1:15" ht="12" customHeight="1" thickBot="1" x14ac:dyDescent="0.25">
      <c r="I78" s="36"/>
    </row>
    <row r="79" spans="1:15" ht="12" customHeight="1" x14ac:dyDescent="0.2">
      <c r="A79" s="1">
        <f t="shared" si="0"/>
        <v>66</v>
      </c>
      <c r="B79" s="8">
        <f>B72+$B$1</f>
        <v>0.68749999999999956</v>
      </c>
      <c r="C79" s="8">
        <f>C72+$B$1</f>
        <v>0.6979166666666663</v>
      </c>
      <c r="D79" s="9"/>
      <c r="E79" s="10"/>
      <c r="F79" s="10"/>
      <c r="G79" s="10"/>
      <c r="H79" s="10"/>
      <c r="I79" s="11">
        <v>15</v>
      </c>
      <c r="J79" s="12" t="s">
        <v>0</v>
      </c>
      <c r="K79" s="13" t="s">
        <v>7</v>
      </c>
    </row>
    <row r="80" spans="1:15" ht="12" customHeight="1" x14ac:dyDescent="0.2">
      <c r="D80" s="19"/>
      <c r="I80" s="5">
        <v>0</v>
      </c>
      <c r="J80" s="1" t="s">
        <v>0</v>
      </c>
      <c r="K80" s="18" t="s">
        <v>9</v>
      </c>
      <c r="L80" s="14" t="s">
        <v>6</v>
      </c>
      <c r="M80" s="5">
        <f>ABS(IF(I82&gt;I80,I80,I82)-IF(I84&gt;I80,I80,I84))</f>
        <v>0</v>
      </c>
      <c r="N80" s="15" t="s">
        <v>11</v>
      </c>
      <c r="O80" s="45">
        <f>AdherancePercentage(I80,M80)</f>
        <v>1</v>
      </c>
    </row>
    <row r="81" spans="1:15" ht="12" customHeight="1" x14ac:dyDescent="0.2">
      <c r="D81" s="19"/>
      <c r="I81" s="5">
        <v>0</v>
      </c>
      <c r="J81" s="1" t="s">
        <v>0</v>
      </c>
      <c r="K81" s="18" t="s">
        <v>4</v>
      </c>
    </row>
    <row r="82" spans="1:15" ht="12" customHeight="1" x14ac:dyDescent="0.2">
      <c r="D82" s="48" t="s">
        <v>22</v>
      </c>
      <c r="E82" s="46"/>
      <c r="F82" s="46"/>
      <c r="G82" s="46"/>
      <c r="H82" s="46"/>
      <c r="I82" s="5">
        <v>15</v>
      </c>
      <c r="J82" s="1" t="s">
        <v>0</v>
      </c>
      <c r="K82" s="18" t="s">
        <v>1</v>
      </c>
      <c r="L82" s="14" t="s">
        <v>6</v>
      </c>
      <c r="M82" s="1">
        <f>IF(I84&gt;I82,0,I82-I84)</f>
        <v>6</v>
      </c>
      <c r="N82" s="15" t="s">
        <v>8</v>
      </c>
      <c r="O82" s="45">
        <f>AdherancePercentage(I82,M82)</f>
        <v>0.6</v>
      </c>
    </row>
    <row r="83" spans="1:15" ht="12" customHeight="1" x14ac:dyDescent="0.2">
      <c r="D83" s="22" t="s">
        <v>12</v>
      </c>
      <c r="E83" s="23"/>
      <c r="F83" s="23"/>
      <c r="G83" s="23"/>
      <c r="H83" s="23"/>
      <c r="I83" s="5">
        <v>15</v>
      </c>
      <c r="J83" s="1" t="s">
        <v>0</v>
      </c>
      <c r="K83" s="18" t="s">
        <v>13</v>
      </c>
      <c r="L83" s="14" t="s">
        <v>6</v>
      </c>
      <c r="M83" s="1">
        <f>ABS(I82-I84)</f>
        <v>6</v>
      </c>
      <c r="N83" s="15" t="s">
        <v>10</v>
      </c>
      <c r="O83" s="45">
        <f>AdherancePercentage(I83,M83)</f>
        <v>0.6</v>
      </c>
    </row>
    <row r="84" spans="1:15" ht="12" customHeight="1" thickBot="1" x14ac:dyDescent="0.25">
      <c r="D84" s="24"/>
      <c r="E84" s="25"/>
      <c r="F84" s="27"/>
      <c r="G84" s="27"/>
      <c r="H84" s="25"/>
      <c r="I84" s="26">
        <v>9</v>
      </c>
      <c r="J84" s="27"/>
      <c r="K84" s="28" t="s">
        <v>5</v>
      </c>
    </row>
    <row r="85" spans="1:15" ht="12" customHeight="1" thickBot="1" x14ac:dyDescent="0.25"/>
    <row r="86" spans="1:15" ht="12" customHeight="1" x14ac:dyDescent="0.2">
      <c r="A86" s="1">
        <f t="shared" si="0"/>
        <v>67</v>
      </c>
      <c r="B86" s="8">
        <f>B79+$B$1</f>
        <v>0.69791666666666619</v>
      </c>
      <c r="C86" s="8">
        <f>C79+$B$1</f>
        <v>0.70833333333333293</v>
      </c>
      <c r="D86" s="9"/>
      <c r="E86" s="10"/>
      <c r="F86" s="10"/>
      <c r="G86" s="10"/>
      <c r="H86" s="10"/>
      <c r="I86" s="11">
        <v>15</v>
      </c>
      <c r="J86" s="12" t="s">
        <v>0</v>
      </c>
      <c r="K86" s="13" t="s">
        <v>7</v>
      </c>
    </row>
    <row r="87" spans="1:15" ht="12" customHeight="1" x14ac:dyDescent="0.2">
      <c r="D87" s="19"/>
      <c r="I87" s="5">
        <v>0</v>
      </c>
      <c r="J87" s="1" t="s">
        <v>0</v>
      </c>
      <c r="K87" s="18" t="s">
        <v>9</v>
      </c>
      <c r="L87" s="14" t="s">
        <v>6</v>
      </c>
      <c r="M87" s="5">
        <f>ABS(IF(I89&gt;I87,I87,I89)-IF(I91&gt;I87,I87,I91))</f>
        <v>0</v>
      </c>
      <c r="N87" s="15" t="s">
        <v>11</v>
      </c>
      <c r="O87" s="45">
        <f>AdherancePercentage(I87,M87)</f>
        <v>1</v>
      </c>
    </row>
    <row r="88" spans="1:15" ht="12" customHeight="1" x14ac:dyDescent="0.2">
      <c r="D88" s="19"/>
      <c r="I88" s="5">
        <v>0</v>
      </c>
      <c r="J88" s="1" t="s">
        <v>0</v>
      </c>
      <c r="K88" s="18" t="s">
        <v>4</v>
      </c>
    </row>
    <row r="89" spans="1:15" ht="12" customHeight="1" x14ac:dyDescent="0.2">
      <c r="D89" s="48" t="s">
        <v>22</v>
      </c>
      <c r="E89" s="46"/>
      <c r="F89" s="46"/>
      <c r="I89" s="5">
        <v>9</v>
      </c>
      <c r="J89" s="1" t="s">
        <v>0</v>
      </c>
      <c r="K89" s="18" t="s">
        <v>1</v>
      </c>
      <c r="L89" s="14" t="s">
        <v>6</v>
      </c>
      <c r="M89" s="1">
        <f>IF(I91&gt;I89,0,I89-I91)</f>
        <v>0</v>
      </c>
      <c r="N89" s="15" t="s">
        <v>8</v>
      </c>
      <c r="O89" s="45">
        <f>AdherancePercentage(I89,M89)</f>
        <v>1</v>
      </c>
    </row>
    <row r="90" spans="1:15" ht="12" customHeight="1" x14ac:dyDescent="0.2">
      <c r="D90" s="22" t="s">
        <v>12</v>
      </c>
      <c r="E90" s="23"/>
      <c r="F90" s="23"/>
      <c r="I90" s="5">
        <v>9</v>
      </c>
      <c r="J90" s="1" t="s">
        <v>0</v>
      </c>
      <c r="K90" s="18" t="s">
        <v>13</v>
      </c>
      <c r="L90" s="14" t="s">
        <v>6</v>
      </c>
      <c r="M90" s="1">
        <f>ABS(I89-I91)</f>
        <v>3</v>
      </c>
      <c r="N90" s="15" t="s">
        <v>10</v>
      </c>
      <c r="O90" s="45">
        <f>AdherancePercentage(I90,M90)</f>
        <v>0.66666666666666663</v>
      </c>
    </row>
    <row r="91" spans="1:15" ht="12" customHeight="1" thickBot="1" x14ac:dyDescent="0.25">
      <c r="D91" s="24"/>
      <c r="E91" s="25"/>
      <c r="F91" s="25"/>
      <c r="G91" s="25"/>
      <c r="H91" s="27"/>
      <c r="I91" s="26">
        <v>12</v>
      </c>
      <c r="J91" s="27"/>
      <c r="K91" s="28" t="s">
        <v>5</v>
      </c>
    </row>
    <row r="92" spans="1:15" ht="12" customHeight="1" x14ac:dyDescent="0.2">
      <c r="I92" s="1"/>
      <c r="O92" s="1"/>
    </row>
    <row r="93" spans="1:15" ht="12" customHeight="1" x14ac:dyDescent="0.2">
      <c r="I93" s="1"/>
      <c r="O93" s="1"/>
    </row>
    <row r="94" spans="1:15" ht="12" customHeight="1" x14ac:dyDescent="0.2">
      <c r="I94" s="1"/>
      <c r="O94" s="1"/>
    </row>
    <row r="95" spans="1:15" ht="12" customHeight="1" x14ac:dyDescent="0.2">
      <c r="I95" s="1"/>
      <c r="O95" s="1"/>
    </row>
    <row r="96" spans="1:15" ht="12" customHeight="1" x14ac:dyDescent="0.2">
      <c r="I96" s="1"/>
      <c r="O96" s="1"/>
    </row>
    <row r="97" spans="9:15" ht="12" customHeight="1" x14ac:dyDescent="0.2">
      <c r="I97" s="1"/>
      <c r="O97" s="1"/>
    </row>
    <row r="98" spans="9:15" ht="12" customHeight="1" x14ac:dyDescent="0.2">
      <c r="I98" s="1"/>
      <c r="O98" s="1"/>
    </row>
    <row r="99" spans="9:15" ht="12" customHeight="1" x14ac:dyDescent="0.2">
      <c r="I99" s="1"/>
      <c r="O99" s="1"/>
    </row>
    <row r="100" spans="9:15" ht="12" customHeight="1" x14ac:dyDescent="0.2">
      <c r="I100" s="1"/>
      <c r="O100" s="1"/>
    </row>
    <row r="101" spans="9:15" ht="12" customHeight="1" x14ac:dyDescent="0.2">
      <c r="I101" s="1"/>
      <c r="O101" s="1"/>
    </row>
    <row r="102" spans="9:15" ht="12" customHeight="1" x14ac:dyDescent="0.2">
      <c r="I102" s="1"/>
      <c r="O102" s="1"/>
    </row>
    <row r="103" spans="9:15" ht="12" customHeight="1" x14ac:dyDescent="0.2">
      <c r="I103" s="1"/>
      <c r="O103" s="1"/>
    </row>
    <row r="104" spans="9:15" ht="12" customHeight="1" x14ac:dyDescent="0.2">
      <c r="I104" s="1"/>
      <c r="O104" s="1"/>
    </row>
    <row r="105" spans="9:15" ht="12" customHeight="1" x14ac:dyDescent="0.2">
      <c r="I105" s="1"/>
      <c r="O105" s="1"/>
    </row>
  </sheetData>
  <pageMargins left="0.7" right="0.7" top="0.75" bottom="0.75" header="0.3" footer="0.3"/>
  <pageSetup paperSize="9" orientation="portrait" r:id="rId1"/>
  <colBreaks count="1" manualBreakCount="1">
    <brk id="10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26"/>
  <sheetViews>
    <sheetView tabSelected="1" workbookViewId="0">
      <selection activeCell="B5" sqref="B5"/>
    </sheetView>
  </sheetViews>
  <sheetFormatPr defaultRowHeight="15" x14ac:dyDescent="0.25"/>
  <cols>
    <col min="1" max="1" width="40.5703125" customWidth="1"/>
  </cols>
  <sheetData>
    <row r="1" spans="1:3" x14ac:dyDescent="0.25">
      <c r="A1" s="50"/>
      <c r="B1" s="50"/>
      <c r="C1" s="50"/>
    </row>
    <row r="2" spans="1:3" x14ac:dyDescent="0.25">
      <c r="A2" s="50"/>
      <c r="B2" s="50"/>
      <c r="C2" s="50"/>
    </row>
    <row r="3" spans="1:3" x14ac:dyDescent="0.25">
      <c r="A3" s="50"/>
      <c r="B3" s="50"/>
      <c r="C3" s="50"/>
    </row>
    <row r="4" spans="1:3" x14ac:dyDescent="0.25">
      <c r="A4" s="50"/>
      <c r="B4" s="50" t="s">
        <v>73</v>
      </c>
      <c r="C4" s="50"/>
    </row>
    <row r="5" spans="1:3" x14ac:dyDescent="0.25">
      <c r="A5" s="50"/>
      <c r="B5" s="50"/>
      <c r="C5" s="50"/>
    </row>
    <row r="6" spans="1:3" x14ac:dyDescent="0.25">
      <c r="A6" s="50"/>
      <c r="B6" s="50"/>
      <c r="C6" s="50"/>
    </row>
    <row r="7" spans="1:3" x14ac:dyDescent="0.25">
      <c r="A7" s="50"/>
      <c r="B7" s="50"/>
      <c r="C7" s="50"/>
    </row>
    <row r="8" spans="1:3" x14ac:dyDescent="0.25">
      <c r="A8" s="50"/>
      <c r="B8" s="50"/>
      <c r="C8" s="50"/>
    </row>
    <row r="9" spans="1:3" x14ac:dyDescent="0.25">
      <c r="A9" s="50"/>
      <c r="B9" s="50"/>
      <c r="C9" s="50"/>
    </row>
    <row r="10" spans="1:3" x14ac:dyDescent="0.25">
      <c r="A10" s="50"/>
      <c r="B10" s="50"/>
      <c r="C10" s="50"/>
    </row>
    <row r="11" spans="1:3" x14ac:dyDescent="0.25">
      <c r="A11" s="50"/>
      <c r="B11" s="50"/>
      <c r="C11" s="50"/>
    </row>
    <row r="12" spans="1:3" x14ac:dyDescent="0.25">
      <c r="A12" s="50"/>
      <c r="B12" s="50"/>
      <c r="C12" s="50"/>
    </row>
    <row r="13" spans="1:3" x14ac:dyDescent="0.25">
      <c r="A13" s="50"/>
      <c r="B13" s="50"/>
      <c r="C13" s="50"/>
    </row>
    <row r="14" spans="1:3" x14ac:dyDescent="0.25">
      <c r="A14" s="50"/>
      <c r="B14" s="50"/>
      <c r="C14" s="50"/>
    </row>
    <row r="15" spans="1:3" x14ac:dyDescent="0.25">
      <c r="A15" s="50"/>
      <c r="B15" s="50"/>
      <c r="C15" s="50"/>
    </row>
    <row r="16" spans="1:3" x14ac:dyDescent="0.25">
      <c r="A16" s="50"/>
      <c r="B16" s="50"/>
      <c r="C16" s="50"/>
    </row>
    <row r="17" spans="1:3" x14ac:dyDescent="0.25">
      <c r="A17" s="50"/>
      <c r="B17" s="50"/>
      <c r="C17" s="50"/>
    </row>
    <row r="18" spans="1:3" x14ac:dyDescent="0.25">
      <c r="A18" s="50"/>
      <c r="B18" s="50"/>
      <c r="C18" s="50"/>
    </row>
    <row r="19" spans="1:3" x14ac:dyDescent="0.25">
      <c r="A19" s="50"/>
      <c r="B19" s="50"/>
      <c r="C19" s="50"/>
    </row>
    <row r="20" spans="1:3" x14ac:dyDescent="0.25">
      <c r="A20" s="50"/>
      <c r="B20" s="50"/>
      <c r="C20" s="50"/>
    </row>
    <row r="21" spans="1:3" x14ac:dyDescent="0.25">
      <c r="A21" s="50"/>
      <c r="B21" s="50"/>
      <c r="C21" s="50"/>
    </row>
    <row r="22" spans="1:3" x14ac:dyDescent="0.25">
      <c r="A22" s="50"/>
      <c r="B22" s="50"/>
      <c r="C22" s="50"/>
    </row>
    <row r="23" spans="1:3" x14ac:dyDescent="0.25">
      <c r="A23" s="50"/>
      <c r="B23" s="50"/>
      <c r="C23" s="50"/>
    </row>
    <row r="24" spans="1:3" x14ac:dyDescent="0.25">
      <c r="A24" s="50"/>
      <c r="B24" s="50"/>
      <c r="C24" s="50"/>
    </row>
    <row r="25" spans="1:3" x14ac:dyDescent="0.25">
      <c r="A25" s="50"/>
      <c r="B25" s="50"/>
      <c r="C25" s="50"/>
    </row>
    <row r="26" spans="1:3" x14ac:dyDescent="0.25">
      <c r="A26" s="50"/>
      <c r="B26" s="50"/>
      <c r="C26" s="50"/>
    </row>
    <row r="27" spans="1:3" x14ac:dyDescent="0.25">
      <c r="A27" s="50"/>
      <c r="B27" s="50"/>
      <c r="C27" s="50"/>
    </row>
    <row r="28" spans="1:3" x14ac:dyDescent="0.25">
      <c r="A28" s="50"/>
      <c r="B28" s="50"/>
      <c r="C28" s="50"/>
    </row>
    <row r="29" spans="1:3" x14ac:dyDescent="0.25">
      <c r="A29" s="50"/>
      <c r="B29" s="50"/>
      <c r="C29" s="50"/>
    </row>
    <row r="30" spans="1:3" x14ac:dyDescent="0.25">
      <c r="A30" s="50"/>
      <c r="B30" s="50"/>
      <c r="C30" s="50"/>
    </row>
    <row r="31" spans="1:3" x14ac:dyDescent="0.25">
      <c r="A31" s="50"/>
      <c r="B31" s="50"/>
      <c r="C31" s="50"/>
    </row>
    <row r="32" spans="1:3" x14ac:dyDescent="0.25">
      <c r="A32" s="50"/>
      <c r="B32" s="50"/>
      <c r="C32" s="50"/>
    </row>
    <row r="33" spans="1:3" x14ac:dyDescent="0.25">
      <c r="A33" s="50"/>
      <c r="B33" s="50"/>
      <c r="C33" s="50"/>
    </row>
    <row r="34" spans="1:3" x14ac:dyDescent="0.25">
      <c r="A34" s="50"/>
      <c r="B34" s="50"/>
      <c r="C34" s="50"/>
    </row>
    <row r="35" spans="1:3" x14ac:dyDescent="0.25">
      <c r="A35" s="50"/>
      <c r="B35" s="50"/>
      <c r="C35" s="50"/>
    </row>
    <row r="36" spans="1:3" x14ac:dyDescent="0.25">
      <c r="A36" s="50"/>
      <c r="B36" s="50"/>
      <c r="C36" s="50"/>
    </row>
    <row r="37" spans="1:3" x14ac:dyDescent="0.25">
      <c r="A37" s="50"/>
      <c r="B37" s="50"/>
      <c r="C37" s="50"/>
    </row>
    <row r="38" spans="1:3" x14ac:dyDescent="0.25">
      <c r="A38" s="50"/>
      <c r="B38" s="50"/>
      <c r="C38" s="50"/>
    </row>
    <row r="39" spans="1:3" x14ac:dyDescent="0.25">
      <c r="A39" s="50"/>
      <c r="B39" s="50"/>
      <c r="C39" s="50"/>
    </row>
    <row r="40" spans="1:3" x14ac:dyDescent="0.25">
      <c r="A40" s="50"/>
      <c r="B40" s="50"/>
      <c r="C40" s="50"/>
    </row>
    <row r="41" spans="1:3" x14ac:dyDescent="0.25">
      <c r="A41" s="50"/>
      <c r="B41" s="50"/>
      <c r="C41" s="50"/>
    </row>
    <row r="42" spans="1:3" x14ac:dyDescent="0.25">
      <c r="A42" s="50"/>
      <c r="B42" s="50"/>
      <c r="C42" s="50"/>
    </row>
    <row r="43" spans="1:3" x14ac:dyDescent="0.25">
      <c r="A43" s="50"/>
      <c r="B43" s="50"/>
      <c r="C43" s="50"/>
    </row>
    <row r="44" spans="1:3" x14ac:dyDescent="0.25">
      <c r="A44" s="50"/>
      <c r="B44" s="50"/>
      <c r="C44" s="50"/>
    </row>
    <row r="45" spans="1:3" x14ac:dyDescent="0.25">
      <c r="A45" s="50"/>
      <c r="B45" s="50"/>
      <c r="C45" s="50"/>
    </row>
    <row r="46" spans="1:3" x14ac:dyDescent="0.25">
      <c r="A46" s="50"/>
      <c r="B46" s="50"/>
      <c r="C46" s="50"/>
    </row>
    <row r="47" spans="1:3" x14ac:dyDescent="0.25">
      <c r="A47" s="50"/>
      <c r="B47" s="50"/>
      <c r="C47" s="50"/>
    </row>
    <row r="48" spans="1:3" x14ac:dyDescent="0.25">
      <c r="A48" s="50"/>
      <c r="B48" s="50"/>
      <c r="C48" s="50"/>
    </row>
    <row r="49" spans="1:3" x14ac:dyDescent="0.25">
      <c r="A49" s="50"/>
      <c r="B49" s="50"/>
      <c r="C49" s="50"/>
    </row>
    <row r="50" spans="1:3" x14ac:dyDescent="0.25">
      <c r="A50" s="50"/>
      <c r="B50" s="50"/>
      <c r="C50" s="50"/>
    </row>
    <row r="51" spans="1:3" x14ac:dyDescent="0.25">
      <c r="A51" s="50"/>
      <c r="B51" s="50"/>
      <c r="C51" s="50"/>
    </row>
    <row r="52" spans="1:3" x14ac:dyDescent="0.25">
      <c r="A52" s="50"/>
      <c r="B52" s="50"/>
      <c r="C52" s="50"/>
    </row>
    <row r="53" spans="1:3" x14ac:dyDescent="0.25">
      <c r="A53" s="50"/>
      <c r="B53" s="50"/>
      <c r="C53" s="50"/>
    </row>
    <row r="54" spans="1:3" x14ac:dyDescent="0.25">
      <c r="A54" s="50"/>
      <c r="B54" s="50"/>
      <c r="C54" s="50"/>
    </row>
    <row r="55" spans="1:3" x14ac:dyDescent="0.25">
      <c r="A55" s="50"/>
      <c r="B55" s="50"/>
      <c r="C55" s="50"/>
    </row>
    <row r="56" spans="1:3" x14ac:dyDescent="0.25">
      <c r="A56" s="50"/>
      <c r="B56" s="50"/>
      <c r="C56" s="50"/>
    </row>
    <row r="57" spans="1:3" x14ac:dyDescent="0.25">
      <c r="A57" s="50"/>
      <c r="B57" s="50"/>
      <c r="C57" s="50"/>
    </row>
    <row r="58" spans="1:3" x14ac:dyDescent="0.25">
      <c r="A58" s="50"/>
      <c r="B58" s="50"/>
      <c r="C58" s="50"/>
    </row>
    <row r="59" spans="1:3" x14ac:dyDescent="0.25">
      <c r="A59" s="50"/>
      <c r="B59" s="50"/>
      <c r="C59" s="50"/>
    </row>
    <row r="60" spans="1:3" x14ac:dyDescent="0.25">
      <c r="A60" s="50"/>
      <c r="B60" s="50"/>
      <c r="C60" s="50"/>
    </row>
    <row r="61" spans="1:3" x14ac:dyDescent="0.25">
      <c r="A61" s="50"/>
      <c r="B61" s="50"/>
      <c r="C61" s="50"/>
    </row>
    <row r="62" spans="1:3" x14ac:dyDescent="0.25">
      <c r="A62" s="50"/>
      <c r="B62" s="50"/>
      <c r="C62" s="50"/>
    </row>
    <row r="63" spans="1:3" x14ac:dyDescent="0.25">
      <c r="A63" s="50"/>
      <c r="B63" s="50"/>
      <c r="C63" s="50"/>
    </row>
    <row r="64" spans="1:3" x14ac:dyDescent="0.25">
      <c r="A64" s="50"/>
      <c r="B64" s="50"/>
      <c r="C64" s="50"/>
    </row>
    <row r="65" spans="1:3" x14ac:dyDescent="0.25">
      <c r="A65" s="50"/>
      <c r="B65" s="50"/>
      <c r="C65" s="50"/>
    </row>
    <row r="66" spans="1:3" x14ac:dyDescent="0.25">
      <c r="A66" s="50"/>
      <c r="B66" s="50"/>
      <c r="C66" s="50"/>
    </row>
    <row r="67" spans="1:3" x14ac:dyDescent="0.25">
      <c r="A67" s="50"/>
      <c r="B67" s="50"/>
      <c r="C67" s="50"/>
    </row>
    <row r="68" spans="1:3" x14ac:dyDescent="0.25">
      <c r="A68" s="50"/>
      <c r="B68" s="50"/>
      <c r="C68" s="50"/>
    </row>
    <row r="69" spans="1:3" x14ac:dyDescent="0.25">
      <c r="A69" s="50"/>
      <c r="B69" s="50"/>
      <c r="C69" s="50"/>
    </row>
    <row r="70" spans="1:3" x14ac:dyDescent="0.25">
      <c r="A70" s="50"/>
      <c r="B70" s="50"/>
      <c r="C70" s="50"/>
    </row>
    <row r="71" spans="1:3" x14ac:dyDescent="0.25">
      <c r="A71" s="50"/>
      <c r="B71" s="50"/>
      <c r="C71" s="50"/>
    </row>
    <row r="72" spans="1:3" x14ac:dyDescent="0.25">
      <c r="A72" s="50"/>
      <c r="B72" s="50"/>
      <c r="C72" s="50"/>
    </row>
    <row r="73" spans="1:3" x14ac:dyDescent="0.25">
      <c r="A73" s="50"/>
      <c r="B73" s="50"/>
      <c r="C73" s="50"/>
    </row>
    <row r="74" spans="1:3" x14ac:dyDescent="0.25">
      <c r="A74" s="50"/>
      <c r="B74" s="50"/>
      <c r="C74" s="50"/>
    </row>
    <row r="75" spans="1:3" x14ac:dyDescent="0.25">
      <c r="A75" s="50"/>
      <c r="B75" s="50"/>
      <c r="C75" s="50"/>
    </row>
    <row r="76" spans="1:3" x14ac:dyDescent="0.25">
      <c r="A76" s="50"/>
      <c r="B76" s="50"/>
      <c r="C76" s="50"/>
    </row>
    <row r="77" spans="1:3" x14ac:dyDescent="0.25">
      <c r="A77" s="50"/>
      <c r="B77" s="50"/>
      <c r="C77" s="50"/>
    </row>
    <row r="78" spans="1:3" x14ac:dyDescent="0.25">
      <c r="A78" s="50"/>
      <c r="B78" s="50"/>
      <c r="C78" s="50"/>
    </row>
    <row r="79" spans="1:3" x14ac:dyDescent="0.25">
      <c r="A79" s="50"/>
      <c r="B79" s="50"/>
      <c r="C79" s="50"/>
    </row>
    <row r="80" spans="1:3" x14ac:dyDescent="0.25">
      <c r="A80" s="50"/>
      <c r="B80" s="50"/>
      <c r="C80" s="50"/>
    </row>
    <row r="81" spans="1:3" x14ac:dyDescent="0.25">
      <c r="A81" s="50"/>
      <c r="B81" s="50"/>
      <c r="C81" s="50"/>
    </row>
    <row r="82" spans="1:3" x14ac:dyDescent="0.25">
      <c r="A82" s="50"/>
      <c r="B82" s="50"/>
      <c r="C82" s="50"/>
    </row>
    <row r="83" spans="1:3" x14ac:dyDescent="0.25">
      <c r="A83" s="50"/>
      <c r="B83" s="50"/>
      <c r="C83" s="50"/>
    </row>
    <row r="84" spans="1:3" x14ac:dyDescent="0.25">
      <c r="A84" s="50"/>
      <c r="B84" s="50"/>
      <c r="C84" s="50"/>
    </row>
    <row r="85" spans="1:3" x14ac:dyDescent="0.25">
      <c r="A85" s="50"/>
      <c r="B85" s="50"/>
      <c r="C85" s="50"/>
    </row>
    <row r="86" spans="1:3" x14ac:dyDescent="0.25">
      <c r="A86" s="50"/>
      <c r="B86" s="50"/>
      <c r="C86" s="50"/>
    </row>
    <row r="87" spans="1:3" x14ac:dyDescent="0.25">
      <c r="A87" s="50"/>
      <c r="B87" s="50"/>
      <c r="C87" s="50"/>
    </row>
    <row r="88" spans="1:3" x14ac:dyDescent="0.25">
      <c r="A88" s="50"/>
      <c r="B88" s="50"/>
      <c r="C88" s="50"/>
    </row>
    <row r="89" spans="1:3" x14ac:dyDescent="0.25">
      <c r="A89" s="50"/>
      <c r="B89" s="50"/>
      <c r="C89" s="50"/>
    </row>
    <row r="90" spans="1:3" x14ac:dyDescent="0.25">
      <c r="A90" s="50"/>
      <c r="B90" s="50"/>
      <c r="C90" s="50"/>
    </row>
    <row r="91" spans="1:3" x14ac:dyDescent="0.25">
      <c r="A91" s="50"/>
      <c r="B91" s="50"/>
      <c r="C91" s="50"/>
    </row>
    <row r="92" spans="1:3" x14ac:dyDescent="0.25">
      <c r="A92" s="50"/>
      <c r="B92" s="50"/>
      <c r="C92" s="50"/>
    </row>
    <row r="93" spans="1:3" x14ac:dyDescent="0.25">
      <c r="A93" s="50"/>
      <c r="B93" s="50"/>
      <c r="C93" s="50"/>
    </row>
    <row r="94" spans="1:3" x14ac:dyDescent="0.25">
      <c r="A94" s="50"/>
      <c r="B94" s="50"/>
      <c r="C94" s="50"/>
    </row>
    <row r="95" spans="1:3" x14ac:dyDescent="0.25">
      <c r="A95" s="50"/>
      <c r="B95" s="50"/>
      <c r="C95" s="50"/>
    </row>
    <row r="96" spans="1:3" x14ac:dyDescent="0.25">
      <c r="A96" s="50"/>
      <c r="B96" s="50"/>
      <c r="C96" s="50"/>
    </row>
    <row r="97" spans="1:3" x14ac:dyDescent="0.25">
      <c r="A97" s="50"/>
      <c r="B97" s="50"/>
      <c r="C97" s="50"/>
    </row>
    <row r="98" spans="1:3" x14ac:dyDescent="0.25">
      <c r="A98" s="50"/>
      <c r="B98" s="50"/>
      <c r="C98" s="50"/>
    </row>
    <row r="99" spans="1:3" x14ac:dyDescent="0.25">
      <c r="A99" s="50"/>
      <c r="B99" s="50"/>
      <c r="C99" s="50"/>
    </row>
    <row r="100" spans="1:3" x14ac:dyDescent="0.25">
      <c r="A100" s="50"/>
      <c r="B100" s="50"/>
      <c r="C100" s="50"/>
    </row>
    <row r="101" spans="1:3" x14ac:dyDescent="0.25">
      <c r="A101" s="50"/>
      <c r="B101" s="50"/>
      <c r="C101" s="50"/>
    </row>
    <row r="102" spans="1:3" x14ac:dyDescent="0.25">
      <c r="A102" s="50"/>
      <c r="B102" s="50"/>
      <c r="C102" s="50"/>
    </row>
    <row r="103" spans="1:3" x14ac:dyDescent="0.25">
      <c r="A103" s="50"/>
      <c r="B103" s="50"/>
      <c r="C103" s="50"/>
    </row>
    <row r="104" spans="1:3" x14ac:dyDescent="0.25">
      <c r="A104" s="50"/>
      <c r="B104" s="50"/>
      <c r="C104" s="50"/>
    </row>
    <row r="105" spans="1:3" x14ac:dyDescent="0.25">
      <c r="A105" s="50"/>
      <c r="B105" s="50"/>
      <c r="C105" s="50"/>
    </row>
    <row r="106" spans="1:3" x14ac:dyDescent="0.25">
      <c r="A106" s="50"/>
      <c r="B106" s="50"/>
      <c r="C106" s="50"/>
    </row>
    <row r="107" spans="1:3" x14ac:dyDescent="0.25">
      <c r="A107" s="50"/>
      <c r="B107" s="50"/>
      <c r="C107" s="50"/>
    </row>
    <row r="108" spans="1:3" x14ac:dyDescent="0.25">
      <c r="A108" s="50"/>
      <c r="B108" s="50"/>
      <c r="C108" s="50"/>
    </row>
    <row r="109" spans="1:3" x14ac:dyDescent="0.25">
      <c r="A109" s="50"/>
      <c r="B109" s="50"/>
      <c r="C109" s="50"/>
    </row>
    <row r="110" spans="1:3" x14ac:dyDescent="0.25">
      <c r="A110" s="50"/>
      <c r="B110" s="50"/>
      <c r="C110" s="50"/>
    </row>
    <row r="111" spans="1:3" x14ac:dyDescent="0.25">
      <c r="A111" s="50"/>
      <c r="B111" s="50"/>
      <c r="C111" s="50"/>
    </row>
    <row r="112" spans="1:3" x14ac:dyDescent="0.25">
      <c r="A112" s="50"/>
      <c r="B112" s="50"/>
      <c r="C112" s="50"/>
    </row>
    <row r="113" spans="1:3" x14ac:dyDescent="0.25">
      <c r="A113" s="50"/>
      <c r="B113" s="50"/>
      <c r="C113" s="50"/>
    </row>
    <row r="114" spans="1:3" x14ac:dyDescent="0.25">
      <c r="A114" s="50"/>
      <c r="B114" s="50"/>
      <c r="C114" s="50"/>
    </row>
    <row r="115" spans="1:3" x14ac:dyDescent="0.25">
      <c r="A115" s="50"/>
      <c r="B115" s="50"/>
      <c r="C115" s="50"/>
    </row>
    <row r="116" spans="1:3" x14ac:dyDescent="0.25">
      <c r="A116" s="50"/>
      <c r="B116" s="50"/>
      <c r="C116" s="50"/>
    </row>
    <row r="117" spans="1:3" x14ac:dyDescent="0.25">
      <c r="A117" s="50"/>
      <c r="B117" s="50"/>
      <c r="C117" s="50"/>
    </row>
    <row r="118" spans="1:3" x14ac:dyDescent="0.25">
      <c r="A118" s="50"/>
      <c r="B118" s="50"/>
      <c r="C118" s="50"/>
    </row>
    <row r="119" spans="1:3" x14ac:dyDescent="0.25">
      <c r="A119" s="50"/>
      <c r="B119" s="50"/>
      <c r="C119" s="50"/>
    </row>
    <row r="120" spans="1:3" x14ac:dyDescent="0.25">
      <c r="A120" s="50"/>
      <c r="B120" s="50"/>
      <c r="C120" s="50"/>
    </row>
    <row r="121" spans="1:3" x14ac:dyDescent="0.25">
      <c r="A121" s="50"/>
      <c r="B121" s="50"/>
      <c r="C121" s="50"/>
    </row>
    <row r="122" spans="1:3" x14ac:dyDescent="0.25">
      <c r="A122" s="50"/>
      <c r="B122" s="50"/>
      <c r="C122" s="50"/>
    </row>
    <row r="123" spans="1:3" x14ac:dyDescent="0.25">
      <c r="A123" s="50"/>
      <c r="B123" s="50"/>
      <c r="C123" s="50"/>
    </row>
    <row r="124" spans="1:3" x14ac:dyDescent="0.25">
      <c r="A124" s="50"/>
      <c r="B124" s="50"/>
      <c r="C124" s="50"/>
    </row>
    <row r="125" spans="1:3" x14ac:dyDescent="0.25">
      <c r="A125" s="50"/>
      <c r="B125" s="50"/>
      <c r="C125" s="50"/>
    </row>
    <row r="126" spans="1:3" x14ac:dyDescent="0.25">
      <c r="A126" s="50"/>
      <c r="B126" s="50"/>
      <c r="C126" s="50"/>
    </row>
  </sheetData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" link="[2]!''''" oleUpdate="OLEUPDATE_ALWAYS" shapeId="1028">
          <objectPr defaultSize="0" autoPict="0" dde="1" r:id="rId4">
            <anchor moveWithCells="1">
              <from>
                <xdr:col>0</xdr:col>
                <xdr:colOff>2466975</xdr:colOff>
                <xdr:row>5</xdr:row>
                <xdr:rowOff>104775</xdr:rowOff>
              </from>
              <to>
                <xdr:col>2</xdr:col>
                <xdr:colOff>66675</xdr:colOff>
                <xdr:row>9</xdr:row>
                <xdr:rowOff>28575</xdr:rowOff>
              </to>
            </anchor>
          </objectPr>
        </oleObject>
      </mc:Choice>
      <mc:Fallback>
        <oleObject progId="Package" link="[2]!''''" oleUpdate="OLEUPDATE_ALWAYS" shapeId="1028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I4"/>
  <sheetViews>
    <sheetView zoomScale="60" zoomScaleNormal="60" workbookViewId="0">
      <selection activeCell="BI67" sqref="BI67"/>
    </sheetView>
  </sheetViews>
  <sheetFormatPr defaultColWidth="5.140625" defaultRowHeight="15" x14ac:dyDescent="0.25"/>
  <cols>
    <col min="1" max="1" width="7.7109375" bestFit="1" customWidth="1"/>
    <col min="9" max="9" width="13.140625" bestFit="1" customWidth="1"/>
  </cols>
  <sheetData>
    <row r="1" spans="1:61" ht="15.75" thickBot="1" x14ac:dyDescent="0.3">
      <c r="B1" s="38" t="s">
        <v>17</v>
      </c>
      <c r="C1" s="38"/>
      <c r="D1" s="38"/>
      <c r="E1" s="38" t="s">
        <v>18</v>
      </c>
      <c r="F1" s="38"/>
      <c r="G1" s="38"/>
      <c r="H1" s="38"/>
      <c r="I1" s="39">
        <v>39846</v>
      </c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</row>
    <row r="2" spans="1:61" x14ac:dyDescent="0.25">
      <c r="A2" t="s">
        <v>19</v>
      </c>
      <c r="B2" s="20"/>
      <c r="C2" s="7"/>
      <c r="D2" s="7"/>
      <c r="E2" s="7"/>
      <c r="F2" s="40"/>
      <c r="G2" s="20"/>
      <c r="H2" s="30"/>
      <c r="I2" s="30"/>
      <c r="J2" s="1"/>
      <c r="K2" s="18"/>
      <c r="L2" s="20"/>
      <c r="M2" s="1"/>
      <c r="N2" s="1"/>
      <c r="O2" s="7"/>
      <c r="P2" s="40"/>
      <c r="Q2" s="20"/>
      <c r="R2" s="30"/>
      <c r="S2" s="30"/>
      <c r="T2" s="1"/>
      <c r="U2" s="18"/>
      <c r="V2" s="20"/>
      <c r="W2" s="30"/>
      <c r="X2" s="1"/>
      <c r="Y2" s="1"/>
      <c r="Z2" s="1"/>
      <c r="AA2" s="19"/>
      <c r="AB2" s="1"/>
      <c r="AC2" s="1"/>
      <c r="AD2" s="1"/>
      <c r="AE2" s="1"/>
      <c r="AF2" s="19"/>
      <c r="AG2" s="1"/>
      <c r="AH2" s="1"/>
      <c r="AI2" s="1"/>
      <c r="AJ2" s="1"/>
      <c r="AK2" s="19"/>
      <c r="AL2" s="1"/>
      <c r="AM2" s="1"/>
      <c r="AN2" s="1"/>
      <c r="AO2" s="30"/>
      <c r="AP2" s="20"/>
      <c r="AQ2" s="1"/>
      <c r="AR2" s="30"/>
      <c r="AS2" s="30"/>
      <c r="AT2" s="40"/>
      <c r="AU2" s="19"/>
      <c r="AV2" s="7"/>
      <c r="AW2" s="7"/>
      <c r="AX2" s="1" t="s">
        <v>2</v>
      </c>
      <c r="AY2" s="1"/>
      <c r="AZ2" s="41"/>
      <c r="BA2" s="12"/>
      <c r="BB2" s="12"/>
      <c r="BC2" s="12"/>
      <c r="BD2" s="13"/>
      <c r="BE2" s="41"/>
      <c r="BF2" s="12"/>
      <c r="BG2" s="12"/>
      <c r="BH2" s="12"/>
      <c r="BI2" s="13"/>
    </row>
    <row r="3" spans="1:61" x14ac:dyDescent="0.25">
      <c r="A3" t="s">
        <v>20</v>
      </c>
      <c r="B3" s="19"/>
      <c r="C3" s="1"/>
      <c r="D3" s="1"/>
      <c r="E3" s="1"/>
      <c r="F3" s="18"/>
      <c r="G3" s="19"/>
      <c r="H3" s="1"/>
      <c r="I3" s="1"/>
      <c r="J3" s="29" t="s">
        <v>3</v>
      </c>
      <c r="K3" s="42"/>
      <c r="L3" s="19"/>
      <c r="M3" s="29" t="s">
        <v>3</v>
      </c>
      <c r="N3" s="29"/>
      <c r="O3" s="1"/>
      <c r="P3" s="18"/>
      <c r="Q3" s="19"/>
      <c r="R3" s="3"/>
      <c r="S3" s="2"/>
      <c r="T3" s="29" t="s">
        <v>3</v>
      </c>
      <c r="U3" s="42"/>
      <c r="V3" s="19"/>
      <c r="W3" s="1"/>
      <c r="X3" s="33"/>
      <c r="Y3" s="33" t="s">
        <v>14</v>
      </c>
      <c r="Z3" s="33"/>
      <c r="AA3" s="34" t="s">
        <v>14</v>
      </c>
      <c r="AB3" s="29" t="s">
        <v>15</v>
      </c>
      <c r="AC3" s="29"/>
      <c r="AD3" s="29"/>
      <c r="AE3" s="29"/>
      <c r="AF3" s="35"/>
      <c r="AG3" s="29" t="s">
        <v>15</v>
      </c>
      <c r="AH3" s="29"/>
      <c r="AI3" s="29"/>
      <c r="AJ3" s="29"/>
      <c r="AK3" s="35"/>
      <c r="AL3" s="29" t="s">
        <v>15</v>
      </c>
      <c r="AM3" s="29"/>
      <c r="AN3" s="33" t="s">
        <v>14</v>
      </c>
      <c r="AO3" s="1"/>
      <c r="AP3" s="19"/>
      <c r="AQ3" s="37" t="s">
        <v>16</v>
      </c>
      <c r="AR3" s="1"/>
      <c r="AS3" s="1"/>
      <c r="AT3" s="18"/>
      <c r="AU3" s="34" t="s">
        <v>14</v>
      </c>
      <c r="AV3" s="1"/>
      <c r="AW3" s="1"/>
      <c r="AX3" s="1"/>
      <c r="AY3" s="1"/>
      <c r="AZ3" s="19"/>
      <c r="BA3" s="1"/>
      <c r="BB3" s="1"/>
      <c r="BC3" s="1"/>
      <c r="BD3" s="18"/>
      <c r="BE3" s="19"/>
      <c r="BF3" s="1"/>
      <c r="BG3" s="1"/>
      <c r="BH3" s="1"/>
      <c r="BI3" s="18"/>
    </row>
    <row r="4" spans="1:61" ht="15.75" thickBot="1" x14ac:dyDescent="0.3">
      <c r="A4" t="s">
        <v>21</v>
      </c>
      <c r="B4" s="24"/>
      <c r="C4" s="25"/>
      <c r="D4" s="25"/>
      <c r="E4" s="25"/>
      <c r="F4" s="43"/>
      <c r="G4" s="24"/>
      <c r="H4" s="25"/>
      <c r="I4" s="31"/>
      <c r="J4" s="31"/>
      <c r="K4" s="44"/>
      <c r="L4" s="32"/>
      <c r="M4" s="25"/>
      <c r="N4" s="25"/>
      <c r="O4" s="25"/>
      <c r="P4" s="44"/>
      <c r="Q4" s="24"/>
      <c r="R4" s="25"/>
      <c r="S4" s="25"/>
      <c r="T4" s="25"/>
      <c r="U4" s="28"/>
      <c r="V4" s="24"/>
      <c r="W4" s="25"/>
      <c r="X4" s="25"/>
      <c r="Y4" s="25"/>
      <c r="Z4" s="27"/>
      <c r="AA4" s="24"/>
      <c r="AB4" s="25"/>
      <c r="AC4" s="27"/>
      <c r="AD4" s="27"/>
      <c r="AE4" s="27"/>
      <c r="AF4" s="32"/>
      <c r="AG4" s="25"/>
      <c r="AH4" s="27"/>
      <c r="AI4" s="27"/>
      <c r="AJ4" s="27"/>
      <c r="AK4" s="32"/>
      <c r="AL4" s="27"/>
      <c r="AM4" s="25"/>
      <c r="AN4" s="25"/>
      <c r="AO4" s="25"/>
      <c r="AP4" s="24"/>
      <c r="AQ4" s="25"/>
      <c r="AR4" s="25"/>
      <c r="AS4" s="25"/>
      <c r="AT4" s="43"/>
      <c r="AU4" s="24"/>
      <c r="AV4" s="25"/>
      <c r="AW4" s="25"/>
      <c r="AX4" s="25"/>
      <c r="AY4" s="27"/>
      <c r="AZ4" s="24"/>
      <c r="BA4" s="25"/>
      <c r="BB4" s="25"/>
      <c r="BC4" s="25"/>
      <c r="BD4" s="43"/>
      <c r="BE4" s="24"/>
      <c r="BF4" s="25"/>
      <c r="BG4" s="27"/>
      <c r="BH4" s="27"/>
      <c r="BI4" s="2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6"/>
  <sheetViews>
    <sheetView topLeftCell="E1" workbookViewId="0">
      <selection activeCell="P16" sqref="P16"/>
    </sheetView>
  </sheetViews>
  <sheetFormatPr defaultRowHeight="15" x14ac:dyDescent="0.25"/>
  <cols>
    <col min="1" max="1" width="7.140625" bestFit="1" customWidth="1"/>
    <col min="2" max="2" width="10.5703125" bestFit="1" customWidth="1"/>
    <col min="3" max="3" width="14" bestFit="1" customWidth="1"/>
    <col min="4" max="4" width="17" bestFit="1" customWidth="1"/>
    <col min="5" max="5" width="7" bestFit="1" customWidth="1"/>
    <col min="6" max="6" width="10.28515625" bestFit="1" customWidth="1"/>
    <col min="7" max="7" width="8.28515625" bestFit="1" customWidth="1"/>
    <col min="8" max="8" width="17.28515625" bestFit="1" customWidth="1"/>
    <col min="9" max="9" width="9.85546875" bestFit="1" customWidth="1"/>
    <col min="10" max="10" width="18" bestFit="1" customWidth="1"/>
    <col min="11" max="11" width="17.5703125" bestFit="1" customWidth="1"/>
    <col min="12" max="12" width="14.5703125" bestFit="1" customWidth="1"/>
    <col min="13" max="13" width="10.42578125" bestFit="1" customWidth="1"/>
    <col min="14" max="14" width="14.140625" bestFit="1" customWidth="1"/>
    <col min="15" max="15" width="12.140625" bestFit="1" customWidth="1"/>
    <col min="16" max="16" width="16.7109375" bestFit="1" customWidth="1"/>
    <col min="17" max="17" width="15.85546875" bestFit="1" customWidth="1"/>
    <col min="18" max="18" width="14" bestFit="1" customWidth="1"/>
    <col min="19" max="19" width="12.140625" bestFit="1" customWidth="1"/>
    <col min="20" max="20" width="10.140625" bestFit="1" customWidth="1"/>
    <col min="21" max="21" width="11" bestFit="1" customWidth="1"/>
    <col min="22" max="22" width="12.7109375" bestFit="1" customWidth="1"/>
    <col min="23" max="23" width="22.140625" bestFit="1" customWidth="1"/>
    <col min="24" max="24" width="16.140625" bestFit="1" customWidth="1"/>
    <col min="25" max="25" width="19.85546875" bestFit="1" customWidth="1"/>
    <col min="26" max="26" width="18" bestFit="1" customWidth="1"/>
    <col min="27" max="27" width="21.7109375" bestFit="1" customWidth="1"/>
    <col min="28" max="28" width="38.7109375" bestFit="1" customWidth="1"/>
    <col min="29" max="29" width="15.5703125" bestFit="1" customWidth="1"/>
  </cols>
  <sheetData>
    <row r="1" spans="1:29" x14ac:dyDescent="0.25">
      <c r="A1" t="s">
        <v>23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29</v>
      </c>
      <c r="H1" t="s">
        <v>30</v>
      </c>
      <c r="I1" t="s">
        <v>31</v>
      </c>
      <c r="J1" t="s">
        <v>32</v>
      </c>
      <c r="K1" t="s">
        <v>33</v>
      </c>
      <c r="L1" t="s">
        <v>34</v>
      </c>
      <c r="M1" t="s">
        <v>35</v>
      </c>
      <c r="N1" t="s">
        <v>36</v>
      </c>
      <c r="O1" t="s">
        <v>37</v>
      </c>
      <c r="P1" t="s">
        <v>38</v>
      </c>
      <c r="Q1" t="s">
        <v>39</v>
      </c>
      <c r="R1" t="s">
        <v>40</v>
      </c>
      <c r="S1" t="s">
        <v>41</v>
      </c>
      <c r="T1" t="s">
        <v>42</v>
      </c>
      <c r="U1" t="s">
        <v>43</v>
      </c>
      <c r="V1" t="s">
        <v>44</v>
      </c>
      <c r="W1" t="s">
        <v>45</v>
      </c>
      <c r="X1" t="s">
        <v>46</v>
      </c>
      <c r="Y1" t="s">
        <v>47</v>
      </c>
      <c r="Z1" t="s">
        <v>48</v>
      </c>
      <c r="AA1" t="s">
        <v>49</v>
      </c>
      <c r="AB1" t="s">
        <v>50</v>
      </c>
      <c r="AC1" t="s">
        <v>51</v>
      </c>
    </row>
    <row r="2" spans="1:29" x14ac:dyDescent="0.25">
      <c r="A2" s="49">
        <v>41318</v>
      </c>
      <c r="B2">
        <v>56</v>
      </c>
      <c r="C2" t="s">
        <v>52</v>
      </c>
      <c r="D2">
        <v>96</v>
      </c>
      <c r="E2">
        <v>2</v>
      </c>
      <c r="F2" t="s">
        <v>53</v>
      </c>
      <c r="G2">
        <v>13</v>
      </c>
      <c r="H2" t="s">
        <v>54</v>
      </c>
      <c r="I2">
        <v>276</v>
      </c>
      <c r="J2" t="s">
        <v>55</v>
      </c>
      <c r="K2" t="s">
        <v>56</v>
      </c>
      <c r="L2" t="s">
        <v>57</v>
      </c>
      <c r="M2">
        <v>1</v>
      </c>
      <c r="N2">
        <v>0.79400000000000004</v>
      </c>
      <c r="O2">
        <v>0</v>
      </c>
      <c r="P2">
        <v>900</v>
      </c>
      <c r="Q2">
        <v>21</v>
      </c>
      <c r="R2">
        <v>15</v>
      </c>
      <c r="S2">
        <v>1</v>
      </c>
      <c r="T2">
        <v>18</v>
      </c>
      <c r="U2">
        <v>-1</v>
      </c>
      <c r="V2">
        <v>-16711936</v>
      </c>
      <c r="W2" t="s">
        <v>58</v>
      </c>
      <c r="X2">
        <v>1</v>
      </c>
      <c r="Y2">
        <v>0.79400000000000004</v>
      </c>
      <c r="Z2">
        <v>0</v>
      </c>
      <c r="AA2">
        <v>21</v>
      </c>
      <c r="AB2" t="s">
        <v>72</v>
      </c>
      <c r="AC2">
        <v>1</v>
      </c>
    </row>
    <row r="3" spans="1:29" x14ac:dyDescent="0.25">
      <c r="A3" s="49">
        <v>41318</v>
      </c>
      <c r="B3">
        <v>57</v>
      </c>
      <c r="C3" t="s">
        <v>59</v>
      </c>
      <c r="D3">
        <v>96</v>
      </c>
      <c r="E3">
        <v>2</v>
      </c>
      <c r="F3" t="s">
        <v>53</v>
      </c>
      <c r="G3">
        <v>13</v>
      </c>
      <c r="H3" t="s">
        <v>54</v>
      </c>
      <c r="I3">
        <v>276</v>
      </c>
      <c r="J3" t="s">
        <v>55</v>
      </c>
      <c r="K3" t="s">
        <v>56</v>
      </c>
      <c r="L3" t="s">
        <v>57</v>
      </c>
      <c r="M3">
        <v>0.8</v>
      </c>
      <c r="N3">
        <v>0.79400000000000004</v>
      </c>
      <c r="O3">
        <v>3</v>
      </c>
      <c r="P3">
        <v>900</v>
      </c>
      <c r="Q3">
        <v>21</v>
      </c>
      <c r="R3">
        <v>6</v>
      </c>
      <c r="S3">
        <v>1</v>
      </c>
      <c r="T3">
        <v>18</v>
      </c>
      <c r="U3">
        <v>-1</v>
      </c>
      <c r="V3">
        <v>-1</v>
      </c>
      <c r="W3" t="s">
        <v>60</v>
      </c>
      <c r="X3">
        <v>0.8</v>
      </c>
      <c r="Y3">
        <v>0.79400000000000004</v>
      </c>
      <c r="Z3">
        <v>3</v>
      </c>
      <c r="AA3">
        <v>21</v>
      </c>
      <c r="AB3" t="s">
        <v>72</v>
      </c>
      <c r="AC3">
        <v>1</v>
      </c>
    </row>
    <row r="4" spans="1:29" x14ac:dyDescent="0.25">
      <c r="A4" s="49">
        <v>41318</v>
      </c>
      <c r="B4">
        <v>58</v>
      </c>
      <c r="C4" t="s">
        <v>61</v>
      </c>
      <c r="D4">
        <v>96</v>
      </c>
      <c r="E4">
        <v>2</v>
      </c>
      <c r="F4" t="s">
        <v>53</v>
      </c>
      <c r="G4">
        <v>13</v>
      </c>
      <c r="H4" t="s">
        <v>54</v>
      </c>
      <c r="I4">
        <v>276</v>
      </c>
      <c r="J4" t="s">
        <v>55</v>
      </c>
      <c r="K4" t="s">
        <v>56</v>
      </c>
      <c r="L4" t="s">
        <v>57</v>
      </c>
      <c r="M4">
        <v>1</v>
      </c>
      <c r="N4">
        <v>0.79400000000000004</v>
      </c>
      <c r="O4">
        <v>0</v>
      </c>
      <c r="P4">
        <v>900</v>
      </c>
      <c r="Q4">
        <v>21</v>
      </c>
      <c r="R4">
        <v>9</v>
      </c>
      <c r="S4">
        <v>1</v>
      </c>
      <c r="T4">
        <v>18</v>
      </c>
      <c r="U4">
        <v>-1</v>
      </c>
      <c r="V4">
        <v>-1</v>
      </c>
      <c r="W4" t="s">
        <v>60</v>
      </c>
      <c r="X4">
        <v>1</v>
      </c>
      <c r="Y4">
        <v>0.79400000000000004</v>
      </c>
      <c r="Z4">
        <v>0</v>
      </c>
      <c r="AA4">
        <v>21</v>
      </c>
      <c r="AB4" t="s">
        <v>72</v>
      </c>
      <c r="AC4">
        <v>1</v>
      </c>
    </row>
    <row r="5" spans="1:29" x14ac:dyDescent="0.25">
      <c r="A5" s="49">
        <v>41318</v>
      </c>
      <c r="B5">
        <v>59</v>
      </c>
      <c r="C5" t="s">
        <v>62</v>
      </c>
      <c r="D5">
        <v>96</v>
      </c>
      <c r="E5">
        <v>2</v>
      </c>
      <c r="F5" t="s">
        <v>53</v>
      </c>
      <c r="G5">
        <v>13</v>
      </c>
      <c r="H5" t="s">
        <v>54</v>
      </c>
      <c r="I5">
        <v>276</v>
      </c>
      <c r="J5" t="s">
        <v>55</v>
      </c>
      <c r="K5" t="s">
        <v>56</v>
      </c>
      <c r="L5" t="s">
        <v>57</v>
      </c>
      <c r="M5">
        <v>0.8</v>
      </c>
      <c r="N5">
        <v>0.79400000000000004</v>
      </c>
      <c r="O5">
        <v>3</v>
      </c>
      <c r="P5">
        <v>900</v>
      </c>
      <c r="Q5">
        <v>21</v>
      </c>
      <c r="R5">
        <v>12</v>
      </c>
      <c r="S5">
        <v>1</v>
      </c>
      <c r="T5">
        <v>18</v>
      </c>
      <c r="U5">
        <v>-1</v>
      </c>
      <c r="V5">
        <v>-1</v>
      </c>
      <c r="W5" t="s">
        <v>60</v>
      </c>
      <c r="X5">
        <v>0.8</v>
      </c>
      <c r="Y5">
        <v>0.79400000000000004</v>
      </c>
      <c r="Z5">
        <v>3</v>
      </c>
      <c r="AA5">
        <v>21</v>
      </c>
      <c r="AB5" t="s">
        <v>72</v>
      </c>
      <c r="AC5">
        <v>1</v>
      </c>
    </row>
    <row r="6" spans="1:29" x14ac:dyDescent="0.25">
      <c r="A6" s="49">
        <v>41318</v>
      </c>
      <c r="B6">
        <v>60</v>
      </c>
      <c r="C6" t="s">
        <v>63</v>
      </c>
      <c r="D6">
        <v>96</v>
      </c>
      <c r="E6">
        <v>2</v>
      </c>
      <c r="F6" t="s">
        <v>53</v>
      </c>
      <c r="G6">
        <v>13</v>
      </c>
      <c r="H6" t="s">
        <v>54</v>
      </c>
      <c r="I6">
        <v>276</v>
      </c>
      <c r="J6" t="s">
        <v>55</v>
      </c>
      <c r="K6" t="s">
        <v>56</v>
      </c>
      <c r="L6" t="s">
        <v>57</v>
      </c>
      <c r="M6">
        <v>0.6</v>
      </c>
      <c r="N6">
        <v>0.79400000000000004</v>
      </c>
      <c r="O6">
        <v>6</v>
      </c>
      <c r="P6">
        <v>900</v>
      </c>
      <c r="Q6">
        <v>21</v>
      </c>
      <c r="R6">
        <v>12</v>
      </c>
      <c r="S6">
        <v>1</v>
      </c>
      <c r="T6">
        <v>18</v>
      </c>
      <c r="U6">
        <v>-1</v>
      </c>
      <c r="V6">
        <v>-1</v>
      </c>
      <c r="W6" t="s">
        <v>60</v>
      </c>
      <c r="X6">
        <v>0.6</v>
      </c>
      <c r="Y6">
        <v>0.79400000000000004</v>
      </c>
      <c r="Z6">
        <v>6</v>
      </c>
      <c r="AA6">
        <v>21</v>
      </c>
      <c r="AB6" t="s">
        <v>72</v>
      </c>
      <c r="AC6">
        <v>1</v>
      </c>
    </row>
    <row r="7" spans="1:29" x14ac:dyDescent="0.25">
      <c r="A7" s="49">
        <v>41318</v>
      </c>
      <c r="B7">
        <v>61</v>
      </c>
      <c r="C7" t="s">
        <v>64</v>
      </c>
      <c r="D7">
        <v>96</v>
      </c>
      <c r="E7">
        <v>2</v>
      </c>
      <c r="F7" t="s">
        <v>53</v>
      </c>
      <c r="G7">
        <v>13</v>
      </c>
      <c r="H7" t="s">
        <v>54</v>
      </c>
      <c r="I7">
        <v>276</v>
      </c>
      <c r="J7" t="s">
        <v>55</v>
      </c>
      <c r="K7" t="s">
        <v>56</v>
      </c>
      <c r="L7" t="s">
        <v>57</v>
      </c>
      <c r="M7">
        <v>0</v>
      </c>
      <c r="N7">
        <v>0.79400000000000004</v>
      </c>
      <c r="O7">
        <v>3</v>
      </c>
      <c r="P7">
        <v>180</v>
      </c>
      <c r="Q7">
        <v>21</v>
      </c>
      <c r="R7">
        <v>6</v>
      </c>
      <c r="S7">
        <v>1</v>
      </c>
      <c r="T7">
        <v>24</v>
      </c>
      <c r="U7">
        <v>-1</v>
      </c>
      <c r="V7">
        <v>-1</v>
      </c>
      <c r="W7" t="s">
        <v>60</v>
      </c>
      <c r="X7">
        <v>0</v>
      </c>
      <c r="Y7">
        <v>0.79400000000000004</v>
      </c>
      <c r="Z7">
        <v>3</v>
      </c>
      <c r="AA7">
        <v>21</v>
      </c>
      <c r="AB7" t="s">
        <v>72</v>
      </c>
      <c r="AC7">
        <v>1</v>
      </c>
    </row>
    <row r="8" spans="1:29" x14ac:dyDescent="0.25">
      <c r="A8" s="49">
        <v>41318</v>
      </c>
      <c r="B8">
        <v>62</v>
      </c>
      <c r="C8" t="s">
        <v>65</v>
      </c>
      <c r="D8">
        <v>96</v>
      </c>
      <c r="E8">
        <v>2</v>
      </c>
      <c r="F8" t="s">
        <v>53</v>
      </c>
      <c r="G8">
        <v>13</v>
      </c>
      <c r="H8" t="s">
        <v>54</v>
      </c>
      <c r="I8">
        <v>276</v>
      </c>
      <c r="J8" t="s">
        <v>55</v>
      </c>
      <c r="K8" t="s">
        <v>56</v>
      </c>
      <c r="L8" t="s">
        <v>57</v>
      </c>
      <c r="M8">
        <v>1</v>
      </c>
      <c r="N8">
        <v>0.79400000000000004</v>
      </c>
      <c r="O8">
        <v>0</v>
      </c>
      <c r="P8">
        <v>0</v>
      </c>
      <c r="Q8">
        <v>21</v>
      </c>
      <c r="R8">
        <v>3</v>
      </c>
      <c r="S8">
        <v>1</v>
      </c>
      <c r="T8">
        <v>12</v>
      </c>
      <c r="U8">
        <v>-1</v>
      </c>
      <c r="V8">
        <v>-256</v>
      </c>
      <c r="W8" t="s">
        <v>66</v>
      </c>
      <c r="X8">
        <v>1</v>
      </c>
      <c r="Y8">
        <v>0.79400000000000004</v>
      </c>
      <c r="Z8">
        <v>0</v>
      </c>
      <c r="AA8">
        <v>21</v>
      </c>
      <c r="AB8" t="s">
        <v>72</v>
      </c>
      <c r="AC8">
        <v>1</v>
      </c>
    </row>
    <row r="9" spans="1:29" x14ac:dyDescent="0.25">
      <c r="A9" s="49">
        <v>41318</v>
      </c>
      <c r="B9">
        <v>63</v>
      </c>
      <c r="C9" t="s">
        <v>67</v>
      </c>
      <c r="D9">
        <v>96</v>
      </c>
      <c r="E9">
        <v>2</v>
      </c>
      <c r="F9" t="s">
        <v>53</v>
      </c>
      <c r="G9">
        <v>13</v>
      </c>
      <c r="H9" t="s">
        <v>54</v>
      </c>
      <c r="I9">
        <v>276</v>
      </c>
      <c r="J9" t="s">
        <v>55</v>
      </c>
      <c r="K9" t="s">
        <v>56</v>
      </c>
      <c r="L9" t="s">
        <v>57</v>
      </c>
      <c r="M9">
        <v>0.5</v>
      </c>
      <c r="N9">
        <v>0.79400000000000004</v>
      </c>
      <c r="O9">
        <v>3</v>
      </c>
      <c r="P9">
        <v>360</v>
      </c>
      <c r="Q9">
        <v>21</v>
      </c>
      <c r="R9">
        <v>9</v>
      </c>
      <c r="S9">
        <v>1</v>
      </c>
      <c r="T9">
        <v>18</v>
      </c>
      <c r="U9">
        <v>-1</v>
      </c>
      <c r="V9">
        <v>-1</v>
      </c>
      <c r="W9" t="s">
        <v>60</v>
      </c>
      <c r="X9">
        <v>0.5</v>
      </c>
      <c r="Y9">
        <v>0.79400000000000004</v>
      </c>
      <c r="Z9">
        <v>3</v>
      </c>
      <c r="AA9">
        <v>21</v>
      </c>
      <c r="AB9" t="s">
        <v>72</v>
      </c>
      <c r="AC9">
        <v>1</v>
      </c>
    </row>
    <row r="10" spans="1:29" x14ac:dyDescent="0.25">
      <c r="A10" s="49">
        <v>41318</v>
      </c>
      <c r="B10">
        <v>64</v>
      </c>
      <c r="C10" t="s">
        <v>68</v>
      </c>
      <c r="D10">
        <v>96</v>
      </c>
      <c r="E10">
        <v>2</v>
      </c>
      <c r="F10" t="s">
        <v>53</v>
      </c>
      <c r="G10">
        <v>13</v>
      </c>
      <c r="H10" t="s">
        <v>54</v>
      </c>
      <c r="I10">
        <v>276</v>
      </c>
      <c r="J10" t="s">
        <v>55</v>
      </c>
      <c r="K10" t="s">
        <v>56</v>
      </c>
      <c r="L10" t="s">
        <v>57</v>
      </c>
      <c r="M10">
        <v>0.8</v>
      </c>
      <c r="N10">
        <v>0.79400000000000004</v>
      </c>
      <c r="O10">
        <v>3</v>
      </c>
      <c r="P10">
        <v>900</v>
      </c>
      <c r="Q10">
        <v>21</v>
      </c>
      <c r="R10">
        <v>15</v>
      </c>
      <c r="S10">
        <v>1</v>
      </c>
      <c r="T10">
        <v>18</v>
      </c>
      <c r="U10">
        <v>-1</v>
      </c>
      <c r="V10">
        <v>-1</v>
      </c>
      <c r="W10" t="s">
        <v>60</v>
      </c>
      <c r="X10">
        <v>0.8</v>
      </c>
      <c r="Y10">
        <v>0.79400000000000004</v>
      </c>
      <c r="Z10">
        <v>3</v>
      </c>
      <c r="AA10">
        <v>21</v>
      </c>
      <c r="AB10" t="s">
        <v>72</v>
      </c>
      <c r="AC10">
        <v>1</v>
      </c>
    </row>
    <row r="11" spans="1:29" x14ac:dyDescent="0.25">
      <c r="A11" s="49">
        <v>41318</v>
      </c>
      <c r="B11">
        <v>65</v>
      </c>
      <c r="C11" t="s">
        <v>69</v>
      </c>
      <c r="D11">
        <v>96</v>
      </c>
      <c r="E11">
        <v>2</v>
      </c>
      <c r="F11" t="s">
        <v>53</v>
      </c>
      <c r="G11">
        <v>13</v>
      </c>
      <c r="H11" t="s">
        <v>54</v>
      </c>
      <c r="I11">
        <v>276</v>
      </c>
      <c r="J11" t="s">
        <v>55</v>
      </c>
      <c r="K11" t="s">
        <v>56</v>
      </c>
      <c r="L11" t="s">
        <v>57</v>
      </c>
      <c r="M11">
        <v>1</v>
      </c>
      <c r="N11">
        <v>0.79400000000000004</v>
      </c>
      <c r="O11">
        <v>0</v>
      </c>
      <c r="P11">
        <v>180</v>
      </c>
      <c r="Q11">
        <v>21</v>
      </c>
      <c r="R11">
        <v>12</v>
      </c>
      <c r="S11">
        <v>1</v>
      </c>
      <c r="T11">
        <v>18</v>
      </c>
      <c r="U11">
        <v>-1</v>
      </c>
      <c r="V11">
        <v>-1</v>
      </c>
      <c r="W11" t="s">
        <v>60</v>
      </c>
      <c r="X11">
        <v>1</v>
      </c>
      <c r="Y11">
        <v>0.79400000000000004</v>
      </c>
      <c r="Z11">
        <v>0</v>
      </c>
      <c r="AA11">
        <v>21</v>
      </c>
      <c r="AB11" t="s">
        <v>72</v>
      </c>
      <c r="AC11">
        <v>1</v>
      </c>
    </row>
    <row r="12" spans="1:29" x14ac:dyDescent="0.25">
      <c r="A12" s="49">
        <v>41318</v>
      </c>
      <c r="B12">
        <v>66</v>
      </c>
      <c r="C12" t="s">
        <v>70</v>
      </c>
      <c r="D12">
        <v>96</v>
      </c>
      <c r="E12">
        <v>2</v>
      </c>
      <c r="F12" t="s">
        <v>53</v>
      </c>
      <c r="G12">
        <v>13</v>
      </c>
      <c r="H12" t="s">
        <v>54</v>
      </c>
      <c r="I12">
        <v>276</v>
      </c>
      <c r="J12" t="s">
        <v>55</v>
      </c>
      <c r="K12" t="s">
        <v>56</v>
      </c>
      <c r="L12" t="s">
        <v>57</v>
      </c>
      <c r="M12">
        <v>1</v>
      </c>
      <c r="N12">
        <v>0.79400000000000004</v>
      </c>
      <c r="O12">
        <v>0</v>
      </c>
      <c r="P12">
        <v>0</v>
      </c>
      <c r="Q12">
        <v>21</v>
      </c>
      <c r="R12">
        <v>9</v>
      </c>
      <c r="S12">
        <v>1</v>
      </c>
      <c r="T12">
        <v>18</v>
      </c>
      <c r="U12">
        <v>-1</v>
      </c>
      <c r="V12">
        <v>-16711936</v>
      </c>
      <c r="W12" t="s">
        <v>58</v>
      </c>
      <c r="X12">
        <v>1</v>
      </c>
      <c r="Y12">
        <v>0.79400000000000004</v>
      </c>
      <c r="Z12">
        <v>0</v>
      </c>
      <c r="AA12">
        <v>21</v>
      </c>
      <c r="AB12" t="s">
        <v>72</v>
      </c>
      <c r="AC12">
        <v>1</v>
      </c>
    </row>
    <row r="13" spans="1:29" x14ac:dyDescent="0.25">
      <c r="A13" s="49">
        <v>41318</v>
      </c>
      <c r="B13">
        <v>67</v>
      </c>
      <c r="C13" t="s">
        <v>71</v>
      </c>
      <c r="D13">
        <v>96</v>
      </c>
      <c r="E13">
        <v>2</v>
      </c>
      <c r="F13" t="s">
        <v>53</v>
      </c>
      <c r="G13">
        <v>13</v>
      </c>
      <c r="H13" t="s">
        <v>54</v>
      </c>
      <c r="I13">
        <v>276</v>
      </c>
      <c r="J13" t="s">
        <v>55</v>
      </c>
      <c r="K13" t="s">
        <v>56</v>
      </c>
      <c r="L13" t="s">
        <v>57</v>
      </c>
      <c r="M13">
        <v>1</v>
      </c>
      <c r="N13">
        <v>0.79400000000000004</v>
      </c>
      <c r="O13">
        <v>0</v>
      </c>
      <c r="P13">
        <v>0</v>
      </c>
      <c r="Q13">
        <v>21</v>
      </c>
      <c r="R13">
        <v>12</v>
      </c>
      <c r="S13">
        <v>1</v>
      </c>
      <c r="T13">
        <v>18</v>
      </c>
      <c r="U13">
        <v>-1</v>
      </c>
      <c r="V13">
        <v>-16711936</v>
      </c>
      <c r="W13" t="s">
        <v>58</v>
      </c>
      <c r="X13">
        <v>1</v>
      </c>
      <c r="Y13">
        <v>0.79400000000000004</v>
      </c>
      <c r="Z13">
        <v>0</v>
      </c>
      <c r="AA13">
        <v>21</v>
      </c>
      <c r="AB13" t="s">
        <v>72</v>
      </c>
      <c r="AC13">
        <v>1</v>
      </c>
    </row>
    <row r="14" spans="1:29" x14ac:dyDescent="0.25">
      <c r="O14">
        <f>SUM(O2:O13)</f>
        <v>21</v>
      </c>
      <c r="P14">
        <f>SUM(P2:P13)</f>
        <v>6120</v>
      </c>
    </row>
    <row r="16" spans="1:29" x14ac:dyDescent="0.25">
      <c r="P16">
        <f>(P14-60*O14)/P14</f>
        <v>0.79411764705882348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5E0FCBD353AE4BB5FD29B5605ABEA2" ma:contentTypeVersion="0" ma:contentTypeDescription="Create a new document." ma:contentTypeScope="" ma:versionID="b868e2209d47134f81e0d956a44937be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E4EDAB93-343A-497E-B441-ED77770AF7C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F9DFBDC-1CDB-4EF4-91A0-479803D8162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A0209971-451E-4565-B71F-6CE93ED9E5D8}">
  <ds:schemaRefs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www.w3.org/XML/1998/namespace"/>
    <ds:schemaRef ds:uri="http://purl.org/dc/terms/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3 x Adherance</vt:lpstr>
      <vt:lpstr>Generate data</vt:lpstr>
      <vt:lpstr>Overview</vt:lpstr>
      <vt:lpstr>Sheet1</vt:lpstr>
    </vt:vector>
  </TitlesOfParts>
  <Company>Teleopti AB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Jonsson</dc:creator>
  <cp:lastModifiedBy>TFSIntegration</cp:lastModifiedBy>
  <cp:lastPrinted>2009-09-16T12:14:30Z</cp:lastPrinted>
  <dcterms:created xsi:type="dcterms:W3CDTF">2009-09-15T13:20:41Z</dcterms:created>
  <dcterms:modified xsi:type="dcterms:W3CDTF">2012-10-08T16:14:26Z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0x010100985E0FCBD353AE4BB5FD29B5605ABEA2</vt:lpwstr>
  </property>
</Properties>
</file>