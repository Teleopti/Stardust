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360" yWindow="45" windowWidth="14295" windowHeight="7935"/>
  </bookViews>
  <sheets>
    <sheet name="3 x Adherance" sheetId="4" r:id="rId1"/>
    <sheet name="Generate data" sheetId="5" r:id="rId2"/>
    <sheet name="Overview" sheetId="6" r:id="rId3"/>
  </sheets>
  <functionGroups builtInGroupCount="17"/>
  <calcPr calcId="145621"/>
</workbook>
</file>

<file path=xl/calcChain.xml><?xml version="1.0" encoding="utf-8"?>
<calcChain xmlns="http://schemas.openxmlformats.org/spreadsheetml/2006/main">
  <c r="M66" i="4" l="1"/>
  <c r="M68" i="4"/>
  <c r="M69" i="4"/>
  <c r="M62" i="4"/>
  <c r="M13" i="4"/>
  <c r="M12" i="4"/>
  <c r="M10" i="4"/>
  <c r="M97" i="4"/>
  <c r="M96" i="4"/>
  <c r="M94" i="4"/>
  <c r="M90" i="4"/>
  <c r="M89" i="4"/>
  <c r="M87" i="4"/>
  <c r="M83" i="4"/>
  <c r="M82" i="4"/>
  <c r="M80" i="4"/>
  <c r="M76" i="4"/>
  <c r="M75" i="4"/>
  <c r="M73" i="4"/>
  <c r="M61" i="4"/>
  <c r="M59" i="4"/>
  <c r="M55" i="4"/>
  <c r="M54" i="4"/>
  <c r="M52" i="4"/>
  <c r="M48" i="4"/>
  <c r="M47" i="4"/>
  <c r="M45" i="4"/>
  <c r="M41" i="4"/>
  <c r="M40" i="4"/>
  <c r="M38" i="4"/>
  <c r="M34" i="4"/>
  <c r="M33" i="4"/>
  <c r="M31" i="4"/>
  <c r="M27" i="4"/>
  <c r="M26" i="4"/>
  <c r="M24" i="4"/>
  <c r="M20" i="4"/>
  <c r="M19" i="4"/>
  <c r="M17" i="4"/>
  <c r="M6" i="4"/>
  <c r="M5" i="4"/>
  <c r="M3" i="4"/>
  <c r="B9" i="4"/>
  <c r="O69" i="4"/>
  <c r="O10" i="4"/>
  <c r="O13" i="4"/>
  <c r="O12" i="4"/>
  <c r="O97" i="4"/>
  <c r="O96" i="4"/>
  <c r="O94" i="4"/>
  <c r="O90" i="4"/>
  <c r="O89" i="4"/>
  <c r="O87" i="4"/>
  <c r="O82" i="4"/>
  <c r="O80" i="4"/>
  <c r="O83" i="4"/>
  <c r="O76" i="4"/>
  <c r="O75" i="4"/>
  <c r="O73" i="4"/>
  <c r="O68" i="4"/>
  <c r="O66" i="4"/>
  <c r="O59" i="4"/>
  <c r="O62" i="4"/>
  <c r="O61" i="4"/>
  <c r="O54" i="4"/>
  <c r="O52" i="4"/>
  <c r="O55" i="4"/>
  <c r="O48" i="4"/>
  <c r="O47" i="4"/>
  <c r="O45" i="4"/>
  <c r="O38" i="4"/>
  <c r="O41" i="4"/>
  <c r="O40" i="4"/>
  <c r="O33" i="4"/>
  <c r="O31" i="4"/>
  <c r="O34" i="4"/>
  <c r="O27" i="4"/>
  <c r="O26" i="4"/>
  <c r="O24" i="4"/>
  <c r="O20" i="4"/>
  <c r="O19" i="4"/>
  <c r="O17" i="4"/>
  <c r="O6" i="4"/>
  <c r="O5" i="4"/>
  <c r="O3" i="4"/>
  <c r="C9" i="4" l="1"/>
  <c r="C16" i="4" s="1"/>
  <c r="C23" i="4" s="1"/>
  <c r="C30" i="4" s="1"/>
  <c r="C37" i="4" s="1"/>
  <c r="C44" i="4" s="1"/>
  <c r="C51" i="4" s="1"/>
  <c r="C58" i="4" s="1"/>
  <c r="C65" i="4" s="1"/>
  <c r="C72" i="4" s="1"/>
  <c r="B16" i="4"/>
  <c r="B23" i="4" s="1"/>
  <c r="B30" i="4" s="1"/>
  <c r="B37" i="4" s="1"/>
  <c r="B44" i="4" s="1"/>
  <c r="B51" i="4" s="1"/>
  <c r="B58" i="4" s="1"/>
  <c r="B65" i="4" s="1"/>
  <c r="B72" i="4" s="1"/>
  <c r="B79" i="4" l="1"/>
  <c r="B93" i="4" s="1"/>
  <c r="B86" i="4"/>
  <c r="C79" i="4"/>
  <c r="C93" i="4" s="1"/>
  <c r="C86" i="4"/>
</calcChain>
</file>

<file path=xl/sharedStrings.xml><?xml version="1.0" encoding="utf-8"?>
<sst xmlns="http://schemas.openxmlformats.org/spreadsheetml/2006/main" count="383" uniqueCount="67">
  <si>
    <t>min</t>
  </si>
  <si>
    <t>ScheduledReadyTime</t>
  </si>
  <si>
    <t>EOD</t>
  </si>
  <si>
    <t>break</t>
  </si>
  <si>
    <t>Activity &lt;&gt; Phone</t>
  </si>
  <si>
    <t>CTI - ReadyTime</t>
  </si>
  <si>
    <t>Deviation</t>
  </si>
  <si>
    <t>Interval</t>
  </si>
  <si>
    <t>ReadyTimeAderance %</t>
  </si>
  <si>
    <t>ContractTime</t>
  </si>
  <si>
    <t>SchTimeAdherance %</t>
  </si>
  <si>
    <t>ContractSchAdherance %</t>
  </si>
  <si>
    <t xml:space="preserve"> </t>
  </si>
  <si>
    <t>ScheduledTime</t>
  </si>
  <si>
    <t>Meeting</t>
  </si>
  <si>
    <t>lunch</t>
  </si>
  <si>
    <t>admin</t>
  </si>
  <si>
    <t>delete from TeleoptiCCC7_Demo.dbo.MainShiftActivityLayer</t>
  </si>
  <si>
    <t>where Parent = '5FBD958A-AEDF-48E6-B803-9BBA00AC6847'</t>
  </si>
  <si>
    <t>insert into TeleoptiCCC7_Demo.dbo.MainShiftActivityLayer</t>
  </si>
  <si>
    <t>values ('7EA1F608-E2B3-4A2D-9933-9BBA00AC6847','0FFEB898-11BF-43FC-8104-9B5E015AB3C2','2009-02-02 13:00:00.000','2009-02-02 15:24:00.000','5FBD958A-AEDF-48E6-B803-9BBA00AC6847',0)</t>
  </si>
  <si>
    <t>values ('C416903A-E403-4886-96B7-9BBA00AC6847','BA3624B0-0AEA-4B72-A585-9B5E015AB3C6','2009-02-02 14:18:00.000','2009-02-02 14:54:00.000','5FBD958A-AEDF-48E6-B803-9BBA00AC6847',1)</t>
  </si>
  <si>
    <t>values ('D212A2BE-78E0-4594-95CC-9E67016B14D5','90EA529A-EEA0-4E22-80AB-9B5E015AB3C6','2009-02-02 13:24:00.000','2009-02-02 13:30:00.000','5FBD958A-AEDF-48E6-B803-9BBA00AC6847',2)</t>
  </si>
  <si>
    <t>values ('B597224E-C2A0-43C0-ABE1-9E67016B14DB','90EA529A-EEA0-4E22-80AB-9B5E015AB3C6','2009-02-02 13:34:00.000','2009-02-02 13:40:00.000','5FBD958A-AEDF-48E6-B803-9BBA00AC6847',3)</t>
  </si>
  <si>
    <t>values ('9B9EE995-BE49-493B-925D-9E67016B14DB','90EA529A-EEA0-4E22-80AB-9B5E015AB3C6','2009-02-02 13:54:00.000','2009-02-02 14:00:00.000','5FBD958A-AEDF-48E6-B803-9BBA00AC6847',4)</t>
  </si>
  <si>
    <t>values ('90A27FBC-204A-4FAD-B63F-9E67016B8711','92159C8B-69B9-4F16-AD18-9B5E015AB3C6','2009-02-02 14:06:00.000','2009-02-02 14:18:00.000','5FBD958A-AEDF-48E6-B803-9BBA00AC6847',5)</t>
  </si>
  <si>
    <t>values ('6AE0AF0F-2084-451C-8EA8-9E67016C34DE','564B1A0C-4445-42D3-A24C-9B5E015AB3C6','2009-02-02 15:03:00.000','2009-02-02 15:06:00.000','5FBD958A-AEDF-48E6-B803-9BBA00AC6847',6)</t>
  </si>
  <si>
    <t>values ('4AE5CA60-6E56-4795-BF19-9E68013089D1','92159C8B-69B9-4F16-AD18-9B5E015AB3C6','2009-02-02 15:15:00.000','2009-02-02 15:18:00.000','5FBD958A-AEDF-48E6-B803-9BBA00AC6847',7)</t>
  </si>
  <si>
    <t>values ('B2DAC05F-94F6-4403-9ECF-9E68015824ED','92159C8B-69B9-4F16-AD18-9B5E015AB3C6','2009-02-02 14:54:00.000','2009-02-02 14:57:00.000','5FBD958A-AEDF-48E6-B803-9BBA00AC6847',8)</t>
  </si>
  <si>
    <t>if not exists (select 1 from TeleoptiCCC7Agg_Demo.dbo.agent_logg where agent_id = 52 and date_from = '2009-02-02' and interval = 53)</t>
  </si>
  <si>
    <t>insert TeleoptiCCC7Agg_Demo.dbo.agent_logg</t>
  </si>
  <si>
    <t>values (11,'2009-02-02 00:00:00',53,52,'Anne Mayock',360,180,180,0,0,0,2,0,0,0,0,0,NULL)</t>
  </si>
  <si>
    <t>if not exists (select 1 from TeleoptiCCC7Agg_Demo.dbo.agent_logg where agent_id = 52 and date_from = '2009-02-02' and interval = 54)</t>
  </si>
  <si>
    <t>values (11,'2009-02-02 00:00:00',54,52,'Anne Mayock',540,180,180,0,0,0,2,0,0,0,0,0,NULL)</t>
  </si>
  <si>
    <t>if not exists (select 1 from TeleoptiCCC7Agg_Demo.dbo.agent_logg where agent_id = 52 and date_from = '2009-02-02' and interval = 55)</t>
  </si>
  <si>
    <t>values (11,'2009-02-02 00:00:00',55,52,'Anne Mayock',720,180,180,0,0,0,2,0,0,0,0,0,NULL)</t>
  </si>
  <si>
    <t>update TeleoptiCCC7Agg_Demo.dbo.agent_logg</t>
  </si>
  <si>
    <t>set avail_dur = 900</t>
  </si>
  <si>
    <t>where agent_id = 52</t>
  </si>
  <si>
    <t>and date_from = '2009-02-02'</t>
  </si>
  <si>
    <t>and interval = 52</t>
  </si>
  <si>
    <t>set avail_dur = 360</t>
  </si>
  <si>
    <t>and interval = 53</t>
  </si>
  <si>
    <t>set avail_dur = 540</t>
  </si>
  <si>
    <t>and interval = 54</t>
  </si>
  <si>
    <t>set avail_dur = 720</t>
  </si>
  <si>
    <t>and interval = 55</t>
  </si>
  <si>
    <t>and interval = 56</t>
  </si>
  <si>
    <t>and interval = 57</t>
  </si>
  <si>
    <t>set avail_dur = 180</t>
  </si>
  <si>
    <t>and interval = 58</t>
  </si>
  <si>
    <t>and interval = 59</t>
  </si>
  <si>
    <t>and interval = 60</t>
  </si>
  <si>
    <t>and interval = 61</t>
  </si>
  <si>
    <t>and interval = 62</t>
  </si>
  <si>
    <t>and interval = 63</t>
  </si>
  <si>
    <t>print 'open schedule. 2009-02-02, Paris/Team 1, Bill Gates'</t>
  </si>
  <si>
    <t>SET NOCOUNT ON</t>
  </si>
  <si>
    <t>Bill Gates</t>
  </si>
  <si>
    <t>Paris/Team 1</t>
  </si>
  <si>
    <t>phone</t>
  </si>
  <si>
    <t>breaks</t>
  </si>
  <si>
    <t>CTI</t>
  </si>
  <si>
    <t>delete from TeleoptiCCC7Agg_Demo.dbo.agent_logg</t>
  </si>
  <si>
    <t>and interval between 1 and 51</t>
  </si>
  <si>
    <t>and interval between 64 and 95</t>
  </si>
  <si>
    <t>Time in 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</si>
</sst>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6">
    <xf numFmtId="0" fontId="0" fillId="0" borderId="0" xfId="0"/>
    <xf numFmtId="0" fontId="2" fillId="0" borderId="0" xfId="0" applyFont="1" applyBorder="1"/>
    <xf numFmtId="0" fontId="2" fillId="0" borderId="0" xfId="0" applyFont="1" applyFill="1" applyBorder="1" applyAlignment="1"/>
    <xf numFmtId="0" fontId="2" fillId="0" borderId="0" xfId="0" applyFont="1" applyFill="1" applyBorder="1"/>
    <xf numFmtId="0" fontId="4" fillId="0" borderId="0" xfId="0" applyFont="1" applyBorder="1"/>
    <xf numFmtId="0" fontId="5" fillId="0" borderId="0" xfId="0" applyFont="1" applyBorder="1"/>
    <xf numFmtId="9" fontId="5" fillId="0" borderId="0" xfId="1" applyFont="1" applyBorder="1"/>
    <xf numFmtId="0" fontId="2" fillId="5" borderId="0" xfId="0" applyFont="1" applyFill="1" applyBorder="1" applyAlignment="1">
      <alignment horizontal="center"/>
    </xf>
    <xf numFmtId="20" fontId="2" fillId="0" borderId="0" xfId="0" applyNumberFormat="1" applyFont="1" applyBorder="1"/>
    <xf numFmtId="0" fontId="2" fillId="6" borderId="1" xfId="0" applyFont="1" applyFill="1" applyBorder="1" applyAlignment="1"/>
    <xf numFmtId="0" fontId="2" fillId="6" borderId="2" xfId="0" applyFont="1" applyFill="1" applyBorder="1" applyAlignment="1"/>
    <xf numFmtId="0" fontId="5" fillId="0" borderId="2" xfId="0" applyFont="1" applyBorder="1"/>
    <xf numFmtId="0" fontId="2" fillId="0" borderId="2" xfId="0" applyFont="1" applyBorder="1"/>
    <xf numFmtId="0" fontId="2" fillId="0" borderId="3" xfId="0" applyFont="1" applyBorder="1"/>
    <xf numFmtId="0" fontId="3" fillId="0" borderId="0" xfId="0" applyFont="1" applyBorder="1" applyAlignment="1">
      <alignment horizontal="right"/>
    </xf>
    <xf numFmtId="0" fontId="3" fillId="0" borderId="0" xfId="0" applyFont="1" applyBorder="1"/>
    <xf numFmtId="0" fontId="2" fillId="7" borderId="4" xfId="0" applyFont="1" applyFill="1" applyBorder="1" applyAlignment="1"/>
    <xf numFmtId="0" fontId="2" fillId="7" borderId="0" xfId="0" applyFont="1" applyFill="1" applyBorder="1" applyAlignment="1"/>
    <xf numFmtId="0" fontId="2" fillId="0" borderId="5" xfId="0" applyFont="1" applyBorder="1"/>
    <xf numFmtId="0" fontId="2" fillId="0" borderId="4" xfId="0" applyFont="1" applyBorder="1"/>
    <xf numFmtId="0" fontId="2" fillId="5" borderId="4" xfId="0" applyFont="1" applyFill="1" applyBorder="1" applyAlignment="1"/>
    <xf numFmtId="0" fontId="2" fillId="0" borderId="0" xfId="0" applyFont="1" applyBorder="1" applyAlignment="1">
      <alignment horizontal="right"/>
    </xf>
    <xf numFmtId="0" fontId="2" fillId="2" borderId="4" xfId="0" applyFont="1" applyFill="1" applyBorder="1" applyAlignment="1"/>
    <xf numFmtId="0" fontId="2" fillId="2" borderId="0" xfId="0" applyFont="1" applyFill="1" applyBorder="1" applyAlignment="1">
      <alignment horizontal="center"/>
    </xf>
    <xf numFmtId="0" fontId="2" fillId="4" borderId="6" xfId="0" applyFont="1" applyFill="1" applyBorder="1" applyAlignment="1"/>
    <xf numFmtId="0" fontId="2" fillId="4" borderId="7" xfId="0" applyFont="1" applyFill="1" applyBorder="1" applyAlignment="1"/>
    <xf numFmtId="0" fontId="5" fillId="0" borderId="7" xfId="0" applyFont="1" applyBorder="1"/>
    <xf numFmtId="0" fontId="2" fillId="0" borderId="7" xfId="0" applyFont="1" applyBorder="1"/>
    <xf numFmtId="0" fontId="2" fillId="0" borderId="8" xfId="0" applyFont="1" applyBorder="1"/>
    <xf numFmtId="0" fontId="2" fillId="3" borderId="0" xfId="0" applyFont="1" applyFill="1" applyBorder="1" applyAlignment="1"/>
    <xf numFmtId="0" fontId="2" fillId="5" borderId="0" xfId="0" applyFont="1" applyFill="1" applyBorder="1" applyAlignment="1"/>
    <xf numFmtId="0" fontId="2" fillId="0" borderId="7" xfId="0" applyFont="1" applyFill="1" applyBorder="1" applyAlignment="1"/>
    <xf numFmtId="0" fontId="2" fillId="0" borderId="6" xfId="0" applyFont="1" applyBorder="1"/>
    <xf numFmtId="0" fontId="2" fillId="8" borderId="0" xfId="0" applyFont="1" applyFill="1" applyBorder="1" applyAlignment="1"/>
    <xf numFmtId="0" fontId="2" fillId="8" borderId="4" xfId="0" applyFont="1" applyFill="1" applyBorder="1" applyAlignment="1"/>
    <xf numFmtId="0" fontId="2" fillId="3" borderId="4" xfId="0" applyFont="1" applyFill="1" applyBorder="1" applyAlignment="1"/>
    <xf numFmtId="9" fontId="6" fillId="0" borderId="0" xfId="1" applyFont="1" applyBorder="1"/>
    <xf numFmtId="0" fontId="2" fillId="9" borderId="0" xfId="0" applyFont="1" applyFill="1" applyBorder="1"/>
    <xf numFmtId="0" fontId="0" fillId="0" borderId="7" xfId="0" applyBorder="1"/>
    <xf numFmtId="14" fontId="0" fillId="0" borderId="7" xfId="0" applyNumberFormat="1" applyBorder="1"/>
    <xf numFmtId="0" fontId="2" fillId="5" borderId="5" xfId="0" applyFont="1" applyFill="1" applyBorder="1" applyAlignment="1">
      <alignment horizontal="center"/>
    </xf>
    <xf numFmtId="0" fontId="2" fillId="0" borderId="1" xfId="0" applyFont="1" applyBorder="1"/>
    <xf numFmtId="0" fontId="2" fillId="3" borderId="5" xfId="0" applyFont="1" applyFill="1" applyBorder="1" applyAlignment="1"/>
    <xf numFmtId="0" fontId="2" fillId="4" borderId="8" xfId="0" applyFont="1" applyFill="1" applyBorder="1" applyAlignment="1"/>
    <xf numFmtId="0" fontId="2" fillId="0" borderId="8" xfId="0" applyFont="1" applyFill="1" applyBorder="1" applyAlignment="1"/>
    <xf numFmtId="9" fontId="3" fillId="0" borderId="0" xfId="1" applyFont="1" applyBorder="1" applyAlignment="1">
      <alignment horizontal="righ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8"/>
  <sheetViews>
    <sheetView tabSelected="1" topLeftCell="A47" zoomScale="120" zoomScaleNormal="120" workbookViewId="0">
      <selection activeCell="M67" sqref="M67"/>
    </sheetView>
  </sheetViews>
  <sheetFormatPr defaultColWidth="3.85546875" defaultRowHeight="12" customHeight="1" x14ac:dyDescent="0.2"/>
  <cols>
    <col min="1" max="1" width="3.85546875" style="1"/>
    <col min="2" max="3" width="4.85546875" style="1" bestFit="1" customWidth="1"/>
    <col min="4" max="8" width="5.140625" style="1" customWidth="1"/>
    <col min="9" max="9" width="4.7109375" style="5" bestFit="1" customWidth="1"/>
    <col min="10" max="10" width="3.5703125" style="1" bestFit="1" customWidth="1"/>
    <col min="11" max="11" width="18.7109375" style="1" bestFit="1" customWidth="1"/>
    <col min="12" max="12" width="9.7109375" style="1" bestFit="1" customWidth="1"/>
    <col min="13" max="13" width="6.7109375" style="1" customWidth="1"/>
    <col min="14" max="14" width="18" style="1" bestFit="1" customWidth="1"/>
    <col min="15" max="15" width="6.5703125" style="21" bestFit="1" customWidth="1"/>
    <col min="16" max="16" width="4.85546875" style="1" bestFit="1" customWidth="1"/>
    <col min="17" max="17" width="3.85546875" style="1"/>
    <col min="18" max="18" width="12.5703125" style="1" customWidth="1"/>
    <col min="19" max="16384" width="3.85546875" style="1"/>
  </cols>
  <sheetData>
    <row r="1" spans="1:15" ht="12" customHeight="1" thickBot="1" x14ac:dyDescent="0.25">
      <c r="B1" s="8">
        <v>1.0416666666666666E-2</v>
      </c>
    </row>
    <row r="2" spans="1:15" ht="12" customHeight="1" x14ac:dyDescent="0.2">
      <c r="A2" s="1">
        <v>52</v>
      </c>
      <c r="B2" s="8">
        <v>0.58333333333333337</v>
      </c>
      <c r="C2" s="8">
        <v>0.59375</v>
      </c>
      <c r="D2" s="9"/>
      <c r="E2" s="10"/>
      <c r="F2" s="10"/>
      <c r="G2" s="10"/>
      <c r="H2" s="10"/>
      <c r="I2" s="11">
        <v>15</v>
      </c>
      <c r="J2" s="12" t="s">
        <v>0</v>
      </c>
      <c r="K2" s="13" t="s">
        <v>7</v>
      </c>
    </row>
    <row r="3" spans="1:15" ht="12" customHeight="1" x14ac:dyDescent="0.2">
      <c r="D3" s="16"/>
      <c r="E3" s="17"/>
      <c r="F3" s="17"/>
      <c r="G3" s="17"/>
      <c r="H3" s="17"/>
      <c r="I3" s="5">
        <v>15</v>
      </c>
      <c r="J3" s="1" t="s">
        <v>0</v>
      </c>
      <c r="K3" s="18" t="s">
        <v>9</v>
      </c>
      <c r="L3" s="14" t="s">
        <v>6</v>
      </c>
      <c r="M3" s="5">
        <f>IF(I3=0,0,IF(I7&gt;I3,ABS(I3-I5),ABS(I5-I7)))</f>
        <v>0</v>
      </c>
      <c r="N3" s="15" t="s">
        <v>11</v>
      </c>
      <c r="O3" s="45">
        <f>AdherancePercentage(I3,M3)</f>
        <v>1</v>
      </c>
    </row>
    <row r="4" spans="1:15" ht="12" customHeight="1" x14ac:dyDescent="0.2">
      <c r="D4" s="19"/>
      <c r="I4" s="5">
        <v>0</v>
      </c>
      <c r="J4" s="1" t="s">
        <v>0</v>
      </c>
      <c r="K4" s="18" t="s">
        <v>4</v>
      </c>
    </row>
    <row r="5" spans="1:15" ht="12" customHeight="1" x14ac:dyDescent="0.2">
      <c r="D5" s="20"/>
      <c r="E5" s="7"/>
      <c r="F5" s="7"/>
      <c r="G5" s="7"/>
      <c r="H5" s="7"/>
      <c r="I5" s="5">
        <v>15</v>
      </c>
      <c r="J5" s="1" t="s">
        <v>0</v>
      </c>
      <c r="K5" s="18" t="s">
        <v>1</v>
      </c>
      <c r="L5" s="14" t="s">
        <v>6</v>
      </c>
      <c r="M5" s="1">
        <f>IF(I7&gt;I5,0,I5-I7)</f>
        <v>0</v>
      </c>
      <c r="N5" s="15" t="s">
        <v>8</v>
      </c>
      <c r="O5" s="45">
        <f>AdherancePercentage(I5,M5)</f>
        <v>1</v>
      </c>
    </row>
    <row r="6" spans="1:15" ht="12" customHeight="1" x14ac:dyDescent="0.2">
      <c r="D6" s="22" t="s">
        <v>12</v>
      </c>
      <c r="E6" s="23"/>
      <c r="F6" s="23"/>
      <c r="G6" s="23"/>
      <c r="H6" s="23"/>
      <c r="I6" s="5">
        <v>15</v>
      </c>
      <c r="J6" s="1" t="s">
        <v>0</v>
      </c>
      <c r="K6" s="18" t="s">
        <v>13</v>
      </c>
      <c r="L6" s="14" t="s">
        <v>6</v>
      </c>
      <c r="M6" s="1">
        <f>ABS(I5-I7)</f>
        <v>0</v>
      </c>
      <c r="N6" s="15" t="s">
        <v>10</v>
      </c>
      <c r="O6" s="45">
        <f>AdherancePercentage(I6,M6)</f>
        <v>1</v>
      </c>
    </row>
    <row r="7" spans="1:15" ht="12" customHeight="1" thickBot="1" x14ac:dyDescent="0.25">
      <c r="D7" s="24"/>
      <c r="E7" s="25"/>
      <c r="F7" s="25"/>
      <c r="G7" s="25"/>
      <c r="H7" s="25"/>
      <c r="I7" s="26">
        <v>15</v>
      </c>
      <c r="J7" s="27" t="s">
        <v>0</v>
      </c>
      <c r="K7" s="28" t="s">
        <v>5</v>
      </c>
    </row>
    <row r="8" spans="1:15" ht="12" customHeight="1" thickBot="1" x14ac:dyDescent="0.25"/>
    <row r="9" spans="1:15" ht="12" customHeight="1" x14ac:dyDescent="0.2">
      <c r="A9" s="1">
        <v>53</v>
      </c>
      <c r="B9" s="8">
        <f>B2+$B$1</f>
        <v>0.59375</v>
      </c>
      <c r="C9" s="8">
        <f>C2+$B$1</f>
        <v>0.60416666666666663</v>
      </c>
      <c r="D9" s="9"/>
      <c r="E9" s="10"/>
      <c r="F9" s="10"/>
      <c r="G9" s="10"/>
      <c r="H9" s="10"/>
      <c r="I9" s="11">
        <v>15</v>
      </c>
      <c r="J9" s="12" t="s">
        <v>0</v>
      </c>
      <c r="K9" s="13" t="s">
        <v>7</v>
      </c>
    </row>
    <row r="10" spans="1:15" ht="12" customHeight="1" x14ac:dyDescent="0.2">
      <c r="D10" s="16"/>
      <c r="E10" s="17"/>
      <c r="F10" s="17"/>
      <c r="G10" s="17"/>
      <c r="H10" s="17"/>
      <c r="I10" s="5">
        <v>15</v>
      </c>
      <c r="J10" s="1" t="s">
        <v>0</v>
      </c>
      <c r="K10" s="18" t="s">
        <v>9</v>
      </c>
      <c r="L10" s="14" t="s">
        <v>6</v>
      </c>
      <c r="M10" s="5">
        <f>IF(I10=0,0,IF(I14&gt;I10,ABS(I10-I12),ABS(I12-I14)))</f>
        <v>3</v>
      </c>
      <c r="N10" s="15" t="s">
        <v>11</v>
      </c>
      <c r="O10" s="45">
        <f>AdherancePercentage(I10,M10)</f>
        <v>0.8</v>
      </c>
    </row>
    <row r="11" spans="1:15" ht="12" customHeight="1" x14ac:dyDescent="0.2">
      <c r="D11" s="19"/>
      <c r="G11" s="29" t="s">
        <v>3</v>
      </c>
      <c r="H11" s="29"/>
      <c r="I11" s="5">
        <v>6</v>
      </c>
      <c r="J11" s="1" t="s">
        <v>0</v>
      </c>
      <c r="K11" s="18" t="s">
        <v>4</v>
      </c>
    </row>
    <row r="12" spans="1:15" ht="12" customHeight="1" x14ac:dyDescent="0.2">
      <c r="D12" s="20"/>
      <c r="E12" s="30"/>
      <c r="F12" s="30"/>
      <c r="I12" s="5">
        <v>9</v>
      </c>
      <c r="J12" s="1" t="s">
        <v>0</v>
      </c>
      <c r="K12" s="18" t="s">
        <v>1</v>
      </c>
      <c r="L12" s="14" t="s">
        <v>6</v>
      </c>
      <c r="M12" s="1">
        <f>IF(I14&gt;I12,0,I12-I14)</f>
        <v>3</v>
      </c>
      <c r="N12" s="15" t="s">
        <v>8</v>
      </c>
      <c r="O12" s="45">
        <f>AdherancePercentage(I12,M12)</f>
        <v>0.66666666666666663</v>
      </c>
    </row>
    <row r="13" spans="1:15" ht="12" customHeight="1" x14ac:dyDescent="0.2">
      <c r="D13" s="22" t="s">
        <v>12</v>
      </c>
      <c r="E13" s="23"/>
      <c r="F13" s="23"/>
      <c r="G13" s="23"/>
      <c r="H13" s="23"/>
      <c r="I13" s="5">
        <v>15</v>
      </c>
      <c r="J13" s="1" t="s">
        <v>0</v>
      </c>
      <c r="K13" s="18" t="s">
        <v>13</v>
      </c>
      <c r="L13" s="14" t="s">
        <v>6</v>
      </c>
      <c r="M13" s="1">
        <f>ABS(I12-I14)</f>
        <v>3</v>
      </c>
      <c r="N13" s="15" t="s">
        <v>10</v>
      </c>
      <c r="O13" s="45">
        <f>AdherancePercentage(I13,M13)</f>
        <v>0.8</v>
      </c>
    </row>
    <row r="14" spans="1:15" ht="12" customHeight="1" thickBot="1" x14ac:dyDescent="0.25">
      <c r="D14" s="24"/>
      <c r="E14" s="25"/>
      <c r="F14" s="31"/>
      <c r="G14" s="31"/>
      <c r="H14" s="31"/>
      <c r="I14" s="26">
        <v>6</v>
      </c>
      <c r="J14" s="27"/>
      <c r="K14" s="28" t="s">
        <v>5</v>
      </c>
    </row>
    <row r="15" spans="1:15" ht="12" customHeight="1" thickBot="1" x14ac:dyDescent="0.25"/>
    <row r="16" spans="1:15" ht="12" customHeight="1" x14ac:dyDescent="0.2">
      <c r="A16" s="1">
        <v>54</v>
      </c>
      <c r="B16" s="8">
        <f>B9+$B$1</f>
        <v>0.60416666666666663</v>
      </c>
      <c r="C16" s="8">
        <f>C9+$B$1</f>
        <v>0.61458333333333326</v>
      </c>
      <c r="D16" s="9"/>
      <c r="E16" s="10"/>
      <c r="F16" s="10"/>
      <c r="G16" s="10"/>
      <c r="H16" s="10"/>
      <c r="I16" s="11">
        <v>15</v>
      </c>
      <c r="J16" s="12" t="s">
        <v>0</v>
      </c>
      <c r="K16" s="13" t="s">
        <v>7</v>
      </c>
    </row>
    <row r="17" spans="1:15" ht="12" customHeight="1" x14ac:dyDescent="0.2">
      <c r="D17" s="16"/>
      <c r="E17" s="17"/>
      <c r="F17" s="17"/>
      <c r="G17" s="17"/>
      <c r="H17" s="17"/>
      <c r="I17" s="5">
        <v>15</v>
      </c>
      <c r="J17" s="1" t="s">
        <v>0</v>
      </c>
      <c r="K17" s="18" t="s">
        <v>9</v>
      </c>
      <c r="L17" s="14" t="s">
        <v>6</v>
      </c>
      <c r="M17" s="5">
        <f>IF(I17=0,0,IF(I21&gt;I17,ABS(I17-I19),ABS(I19-I21)))</f>
        <v>0</v>
      </c>
      <c r="N17" s="15" t="s">
        <v>11</v>
      </c>
      <c r="O17" s="45">
        <f>AdherancePercentage(I17,M17)</f>
        <v>1</v>
      </c>
    </row>
    <row r="18" spans="1:15" ht="12" customHeight="1" x14ac:dyDescent="0.2">
      <c r="D18" s="19"/>
      <c r="E18" s="29" t="s">
        <v>3</v>
      </c>
      <c r="F18" s="29"/>
      <c r="I18" s="5">
        <v>6</v>
      </c>
      <c r="J18" s="1" t="s">
        <v>0</v>
      </c>
      <c r="K18" s="18" t="s">
        <v>4</v>
      </c>
    </row>
    <row r="19" spans="1:15" ht="12" customHeight="1" x14ac:dyDescent="0.2">
      <c r="D19" s="20"/>
      <c r="G19" s="7"/>
      <c r="H19" s="7"/>
      <c r="I19" s="5">
        <v>9</v>
      </c>
      <c r="J19" s="1" t="s">
        <v>0</v>
      </c>
      <c r="K19" s="18" t="s">
        <v>1</v>
      </c>
      <c r="L19" s="14" t="s">
        <v>6</v>
      </c>
      <c r="M19" s="1">
        <f>IF(I21&gt;I19,0,I19-I21)</f>
        <v>0</v>
      </c>
      <c r="N19" s="15" t="s">
        <v>8</v>
      </c>
      <c r="O19" s="45">
        <f>AdherancePercentage(I19,M19)</f>
        <v>1</v>
      </c>
    </row>
    <row r="20" spans="1:15" ht="12" customHeight="1" x14ac:dyDescent="0.2">
      <c r="D20" s="22" t="s">
        <v>12</v>
      </c>
      <c r="E20" s="23"/>
      <c r="F20" s="23"/>
      <c r="G20" s="23"/>
      <c r="H20" s="23"/>
      <c r="I20" s="5">
        <v>15</v>
      </c>
      <c r="J20" s="1" t="s">
        <v>0</v>
      </c>
      <c r="K20" s="18" t="s">
        <v>13</v>
      </c>
      <c r="L20" s="14" t="s">
        <v>6</v>
      </c>
      <c r="M20" s="1">
        <f>ABS(I19-I21)</f>
        <v>0</v>
      </c>
      <c r="N20" s="15" t="s">
        <v>10</v>
      </c>
      <c r="O20" s="45">
        <f>AdherancePercentage(I20,M20)</f>
        <v>1</v>
      </c>
    </row>
    <row r="21" spans="1:15" ht="12" customHeight="1" thickBot="1" x14ac:dyDescent="0.25">
      <c r="D21" s="32"/>
      <c r="E21" s="25"/>
      <c r="F21" s="25"/>
      <c r="G21" s="25"/>
      <c r="H21" s="31"/>
      <c r="I21" s="26">
        <v>9</v>
      </c>
      <c r="J21" s="27"/>
      <c r="K21" s="28" t="s">
        <v>5</v>
      </c>
    </row>
    <row r="22" spans="1:15" ht="12" customHeight="1" thickBot="1" x14ac:dyDescent="0.25">
      <c r="I22" s="6"/>
      <c r="J22" s="4"/>
    </row>
    <row r="23" spans="1:15" ht="12" customHeight="1" x14ac:dyDescent="0.2">
      <c r="A23" s="1">
        <v>55</v>
      </c>
      <c r="B23" s="8">
        <f>B16+$B$1</f>
        <v>0.61458333333333326</v>
      </c>
      <c r="C23" s="8">
        <f>C16+$B$1</f>
        <v>0.62499999999999989</v>
      </c>
      <c r="D23" s="9"/>
      <c r="E23" s="10"/>
      <c r="F23" s="10"/>
      <c r="G23" s="10"/>
      <c r="H23" s="10"/>
      <c r="I23" s="11">
        <v>15</v>
      </c>
      <c r="J23" s="12" t="s">
        <v>0</v>
      </c>
      <c r="K23" s="13" t="s">
        <v>7</v>
      </c>
    </row>
    <row r="24" spans="1:15" ht="12" customHeight="1" x14ac:dyDescent="0.2">
      <c r="D24" s="16"/>
      <c r="E24" s="17"/>
      <c r="F24" s="17"/>
      <c r="G24" s="17"/>
      <c r="H24" s="17"/>
      <c r="I24" s="5">
        <v>15</v>
      </c>
      <c r="J24" s="1" t="s">
        <v>0</v>
      </c>
      <c r="K24" s="18" t="s">
        <v>9</v>
      </c>
      <c r="L24" s="14" t="s">
        <v>6</v>
      </c>
      <c r="M24" s="5">
        <f>IF(I24=0,0,IF(I28&gt;I24,ABS(I24-I26),ABS(I26-I28)))</f>
        <v>3</v>
      </c>
      <c r="N24" s="15" t="s">
        <v>11</v>
      </c>
      <c r="O24" s="45">
        <f>AdherancePercentage(I24,M24)</f>
        <v>0.8</v>
      </c>
    </row>
    <row r="25" spans="1:15" ht="12" customHeight="1" x14ac:dyDescent="0.2">
      <c r="D25" s="19"/>
      <c r="E25" s="3"/>
      <c r="F25" s="2"/>
      <c r="G25" s="29" t="s">
        <v>3</v>
      </c>
      <c r="H25" s="29"/>
      <c r="I25" s="5">
        <v>6</v>
      </c>
      <c r="J25" s="1" t="s">
        <v>0</v>
      </c>
      <c r="K25" s="18" t="s">
        <v>4</v>
      </c>
    </row>
    <row r="26" spans="1:15" ht="12" customHeight="1" x14ac:dyDescent="0.2">
      <c r="D26" s="20"/>
      <c r="E26" s="30"/>
      <c r="F26" s="30"/>
      <c r="I26" s="5">
        <v>9</v>
      </c>
      <c r="J26" s="1" t="s">
        <v>0</v>
      </c>
      <c r="K26" s="18" t="s">
        <v>1</v>
      </c>
      <c r="L26" s="14" t="s">
        <v>6</v>
      </c>
      <c r="M26" s="1">
        <f>IF(I28&gt;I26,0,I26-I28)</f>
        <v>0</v>
      </c>
      <c r="N26" s="15" t="s">
        <v>8</v>
      </c>
      <c r="O26" s="45">
        <f>AdherancePercentage(I26,M26)</f>
        <v>1</v>
      </c>
    </row>
    <row r="27" spans="1:15" ht="12" customHeight="1" x14ac:dyDescent="0.2">
      <c r="D27" s="22" t="s">
        <v>12</v>
      </c>
      <c r="E27" s="23"/>
      <c r="F27" s="23"/>
      <c r="G27" s="23"/>
      <c r="H27" s="23"/>
      <c r="I27" s="5">
        <v>15</v>
      </c>
      <c r="J27" s="1" t="s">
        <v>0</v>
      </c>
      <c r="K27" s="18" t="s">
        <v>13</v>
      </c>
      <c r="L27" s="14" t="s">
        <v>6</v>
      </c>
      <c r="M27" s="1">
        <f>ABS(I26-I28)</f>
        <v>3</v>
      </c>
      <c r="N27" s="15" t="s">
        <v>10</v>
      </c>
      <c r="O27" s="45">
        <f>AdherancePercentage(I27,M27)</f>
        <v>0.8</v>
      </c>
    </row>
    <row r="28" spans="1:15" ht="12" customHeight="1" thickBot="1" x14ac:dyDescent="0.25">
      <c r="D28" s="24"/>
      <c r="E28" s="25"/>
      <c r="F28" s="25"/>
      <c r="G28" s="25"/>
      <c r="H28" s="27"/>
      <c r="I28" s="26">
        <v>12</v>
      </c>
      <c r="J28" s="27"/>
      <c r="K28" s="28" t="s">
        <v>5</v>
      </c>
    </row>
    <row r="29" spans="1:15" ht="12" customHeight="1" thickBot="1" x14ac:dyDescent="0.25"/>
    <row r="30" spans="1:15" ht="12" customHeight="1" x14ac:dyDescent="0.2">
      <c r="A30" s="1">
        <v>56</v>
      </c>
      <c r="B30" s="8">
        <f>B23+$B$1</f>
        <v>0.62499999999999989</v>
      </c>
      <c r="C30" s="8">
        <f>C23+$B$1</f>
        <v>0.63541666666666652</v>
      </c>
      <c r="D30" s="9"/>
      <c r="E30" s="10"/>
      <c r="F30" s="10"/>
      <c r="G30" s="10"/>
      <c r="H30" s="10"/>
      <c r="I30" s="11">
        <v>15</v>
      </c>
      <c r="J30" s="12" t="s">
        <v>0</v>
      </c>
      <c r="K30" s="13" t="s">
        <v>7</v>
      </c>
    </row>
    <row r="31" spans="1:15" ht="12" customHeight="1" x14ac:dyDescent="0.2">
      <c r="D31" s="16"/>
      <c r="E31" s="17"/>
      <c r="F31" s="17"/>
      <c r="G31" s="17"/>
      <c r="H31" s="17"/>
      <c r="I31" s="5">
        <v>15</v>
      </c>
      <c r="J31" s="1" t="s">
        <v>0</v>
      </c>
      <c r="K31" s="18" t="s">
        <v>9</v>
      </c>
      <c r="L31" s="14" t="s">
        <v>6</v>
      </c>
      <c r="M31" s="5">
        <f>IF(I31=0,0,IF(I35&gt;I31,ABS(I31-I33),ABS(I33-I35)))</f>
        <v>6</v>
      </c>
      <c r="N31" s="15" t="s">
        <v>11</v>
      </c>
      <c r="O31" s="45">
        <f>AdherancePercentage(I31,M31)</f>
        <v>0.6</v>
      </c>
    </row>
    <row r="32" spans="1:15" ht="12" customHeight="1" x14ac:dyDescent="0.2">
      <c r="D32" s="19"/>
      <c r="F32" s="33"/>
      <c r="G32" s="33" t="s">
        <v>14</v>
      </c>
      <c r="H32" s="33"/>
      <c r="I32" s="5">
        <v>9</v>
      </c>
      <c r="J32" s="1" t="s">
        <v>0</v>
      </c>
      <c r="K32" s="18" t="s">
        <v>4</v>
      </c>
    </row>
    <row r="33" spans="1:15" ht="12" customHeight="1" x14ac:dyDescent="0.2">
      <c r="D33" s="20"/>
      <c r="E33" s="30"/>
      <c r="I33" s="5">
        <v>6</v>
      </c>
      <c r="J33" s="1" t="s">
        <v>0</v>
      </c>
      <c r="K33" s="18" t="s">
        <v>1</v>
      </c>
      <c r="L33" s="14" t="s">
        <v>6</v>
      </c>
      <c r="M33" s="1">
        <f>IF(I35&gt;I33,0,I33-I35)</f>
        <v>0</v>
      </c>
      <c r="N33" s="15" t="s">
        <v>8</v>
      </c>
      <c r="O33" s="45">
        <f>AdherancePercentage(I33,M33)</f>
        <v>1</v>
      </c>
    </row>
    <row r="34" spans="1:15" ht="12" customHeight="1" x14ac:dyDescent="0.2">
      <c r="D34" s="22" t="s">
        <v>12</v>
      </c>
      <c r="E34" s="23"/>
      <c r="F34" s="23"/>
      <c r="G34" s="23"/>
      <c r="H34" s="23"/>
      <c r="I34" s="5">
        <v>15</v>
      </c>
      <c r="J34" s="1" t="s">
        <v>0</v>
      </c>
      <c r="K34" s="18" t="s">
        <v>13</v>
      </c>
      <c r="L34" s="14" t="s">
        <v>6</v>
      </c>
      <c r="M34" s="1">
        <f>ABS(I33-I35)</f>
        <v>6</v>
      </c>
      <c r="N34" s="15" t="s">
        <v>10</v>
      </c>
      <c r="O34" s="45">
        <f>AdherancePercentage(I34,M34)</f>
        <v>0.6</v>
      </c>
    </row>
    <row r="35" spans="1:15" ht="12" customHeight="1" thickBot="1" x14ac:dyDescent="0.25">
      <c r="D35" s="24"/>
      <c r="E35" s="25"/>
      <c r="F35" s="25"/>
      <c r="G35" s="25"/>
      <c r="H35" s="27"/>
      <c r="I35" s="26">
        <v>12</v>
      </c>
      <c r="J35" s="27"/>
      <c r="K35" s="28" t="s">
        <v>5</v>
      </c>
    </row>
    <row r="36" spans="1:15" ht="12" customHeight="1" thickBot="1" x14ac:dyDescent="0.25"/>
    <row r="37" spans="1:15" ht="12" customHeight="1" x14ac:dyDescent="0.2">
      <c r="A37" s="1">
        <v>57</v>
      </c>
      <c r="B37" s="8">
        <f>B30+$B$1</f>
        <v>0.63541666666666652</v>
      </c>
      <c r="C37" s="8">
        <f>C30+$B$1</f>
        <v>0.64583333333333315</v>
      </c>
      <c r="D37" s="9"/>
      <c r="E37" s="10"/>
      <c r="F37" s="10"/>
      <c r="G37" s="10"/>
      <c r="H37" s="10"/>
      <c r="I37" s="11">
        <v>15</v>
      </c>
      <c r="J37" s="12" t="s">
        <v>0</v>
      </c>
      <c r="K37" s="13" t="s">
        <v>7</v>
      </c>
    </row>
    <row r="38" spans="1:15" ht="12" customHeight="1" x14ac:dyDescent="0.2">
      <c r="D38" s="16"/>
      <c r="I38" s="5">
        <v>3</v>
      </c>
      <c r="J38" s="1" t="s">
        <v>0</v>
      </c>
      <c r="K38" s="18" t="s">
        <v>9</v>
      </c>
      <c r="L38" s="14" t="s">
        <v>6</v>
      </c>
      <c r="M38" s="5">
        <f>IF(I38=0,0,IF(I42&gt;I38,ABS(I38-I40),ABS(I40-I42)))</f>
        <v>3</v>
      </c>
      <c r="N38" s="15" t="s">
        <v>11</v>
      </c>
      <c r="O38" s="45">
        <f>AdherancePercentage(I38,M38)</f>
        <v>0</v>
      </c>
    </row>
    <row r="39" spans="1:15" ht="12" customHeight="1" x14ac:dyDescent="0.2">
      <c r="D39" s="34" t="s">
        <v>14</v>
      </c>
      <c r="E39" s="29" t="s">
        <v>15</v>
      </c>
      <c r="F39" s="29"/>
      <c r="G39" s="29"/>
      <c r="H39" s="29"/>
      <c r="I39" s="5">
        <v>15</v>
      </c>
      <c r="J39" s="1" t="s">
        <v>0</v>
      </c>
      <c r="K39" s="18" t="s">
        <v>4</v>
      </c>
    </row>
    <row r="40" spans="1:15" ht="12" customHeight="1" x14ac:dyDescent="0.2">
      <c r="D40" s="19"/>
      <c r="I40" s="5">
        <v>0</v>
      </c>
      <c r="J40" s="1" t="s">
        <v>0</v>
      </c>
      <c r="K40" s="18" t="s">
        <v>1</v>
      </c>
      <c r="L40" s="14" t="s">
        <v>6</v>
      </c>
      <c r="M40" s="1">
        <f>IF(I42&gt;I40,0,I40-I42)</f>
        <v>0</v>
      </c>
      <c r="N40" s="15" t="s">
        <v>8</v>
      </c>
      <c r="O40" s="45">
        <f>AdherancePercentage(I40,M40)</f>
        <v>1</v>
      </c>
    </row>
    <row r="41" spans="1:15" ht="12" customHeight="1" x14ac:dyDescent="0.2">
      <c r="D41" s="22" t="s">
        <v>12</v>
      </c>
      <c r="E41" s="23"/>
      <c r="F41" s="23"/>
      <c r="G41" s="23"/>
      <c r="H41" s="23"/>
      <c r="I41" s="5">
        <v>15</v>
      </c>
      <c r="J41" s="1" t="s">
        <v>0</v>
      </c>
      <c r="K41" s="18" t="s">
        <v>13</v>
      </c>
      <c r="L41" s="14" t="s">
        <v>6</v>
      </c>
      <c r="M41" s="1">
        <f>ABS(I40-I42)</f>
        <v>6</v>
      </c>
      <c r="N41" s="15" t="s">
        <v>10</v>
      </c>
      <c r="O41" s="45">
        <f>AdherancePercentage(I41,M41)</f>
        <v>0.6</v>
      </c>
    </row>
    <row r="42" spans="1:15" ht="12" customHeight="1" thickBot="1" x14ac:dyDescent="0.25">
      <c r="D42" s="24"/>
      <c r="E42" s="25"/>
      <c r="F42" s="27"/>
      <c r="G42" s="27"/>
      <c r="H42" s="27"/>
      <c r="I42" s="26">
        <v>6</v>
      </c>
      <c r="J42" s="27"/>
      <c r="K42" s="28" t="s">
        <v>5</v>
      </c>
    </row>
    <row r="43" spans="1:15" ht="12" customHeight="1" thickBot="1" x14ac:dyDescent="0.25">
      <c r="I43" s="6"/>
      <c r="J43" s="4"/>
    </row>
    <row r="44" spans="1:15" ht="12" customHeight="1" x14ac:dyDescent="0.2">
      <c r="A44" s="1">
        <v>58</v>
      </c>
      <c r="B44" s="8">
        <f>B37+$B$1</f>
        <v>0.64583333333333315</v>
      </c>
      <c r="C44" s="8">
        <f>C37+$B$1</f>
        <v>0.65624999999999978</v>
      </c>
      <c r="D44" s="9"/>
      <c r="E44" s="10"/>
      <c r="F44" s="10"/>
      <c r="G44" s="10"/>
      <c r="H44" s="10"/>
      <c r="I44" s="11">
        <v>15</v>
      </c>
      <c r="J44" s="12" t="s">
        <v>0</v>
      </c>
      <c r="K44" s="13" t="s">
        <v>7</v>
      </c>
    </row>
    <row r="45" spans="1:15" ht="12" customHeight="1" x14ac:dyDescent="0.2">
      <c r="B45" s="8"/>
      <c r="C45" s="8"/>
      <c r="D45" s="19"/>
      <c r="I45" s="5">
        <v>0</v>
      </c>
      <c r="J45" s="1" t="s">
        <v>0</v>
      </c>
      <c r="K45" s="18" t="s">
        <v>9</v>
      </c>
      <c r="L45" s="14" t="s">
        <v>6</v>
      </c>
      <c r="M45" s="5">
        <f>IF(I45=0,0,IF(I49&gt;I45,ABS(I45-I47),ABS(I47-I49)))</f>
        <v>0</v>
      </c>
      <c r="N45" s="15" t="s">
        <v>11</v>
      </c>
      <c r="O45" s="45">
        <f>AdherancePercentage(I45,M45)</f>
        <v>1</v>
      </c>
    </row>
    <row r="46" spans="1:15" ht="12" customHeight="1" x14ac:dyDescent="0.2">
      <c r="D46" s="35"/>
      <c r="E46" s="29" t="s">
        <v>15</v>
      </c>
      <c r="F46" s="29"/>
      <c r="G46" s="29"/>
      <c r="H46" s="29"/>
      <c r="I46" s="5">
        <v>15</v>
      </c>
      <c r="J46" s="1" t="s">
        <v>0</v>
      </c>
      <c r="K46" s="18" t="s">
        <v>4</v>
      </c>
    </row>
    <row r="47" spans="1:15" ht="12" customHeight="1" x14ac:dyDescent="0.2">
      <c r="D47" s="19"/>
      <c r="I47" s="5">
        <v>0</v>
      </c>
      <c r="J47" s="1" t="s">
        <v>0</v>
      </c>
      <c r="K47" s="18" t="s">
        <v>1</v>
      </c>
      <c r="L47" s="14" t="s">
        <v>6</v>
      </c>
      <c r="M47" s="1">
        <f>IF(I49&gt;I47,0,I47-I49)</f>
        <v>0</v>
      </c>
      <c r="N47" s="15" t="s">
        <v>8</v>
      </c>
      <c r="O47" s="45">
        <f>AdherancePercentage(I47,M47)</f>
        <v>1</v>
      </c>
    </row>
    <row r="48" spans="1:15" ht="12" customHeight="1" x14ac:dyDescent="0.2">
      <c r="D48" s="22" t="s">
        <v>12</v>
      </c>
      <c r="E48" s="23"/>
      <c r="F48" s="23"/>
      <c r="G48" s="23"/>
      <c r="H48" s="23"/>
      <c r="I48" s="5">
        <v>15</v>
      </c>
      <c r="J48" s="1" t="s">
        <v>0</v>
      </c>
      <c r="K48" s="18" t="s">
        <v>13</v>
      </c>
      <c r="L48" s="14" t="s">
        <v>6</v>
      </c>
      <c r="M48" s="1">
        <f>ABS(I47-I49)</f>
        <v>3</v>
      </c>
      <c r="N48" s="15" t="s">
        <v>10</v>
      </c>
      <c r="O48" s="45">
        <f>AdherancePercentage(I48,M48)</f>
        <v>0.8</v>
      </c>
    </row>
    <row r="49" spans="1:15" ht="12" customHeight="1" thickBot="1" x14ac:dyDescent="0.25">
      <c r="D49" s="32"/>
      <c r="E49" s="25"/>
      <c r="F49" s="27"/>
      <c r="G49" s="27"/>
      <c r="H49" s="27"/>
      <c r="I49" s="26">
        <v>3</v>
      </c>
      <c r="J49" s="27"/>
      <c r="K49" s="28" t="s">
        <v>5</v>
      </c>
    </row>
    <row r="50" spans="1:15" ht="12" customHeight="1" thickBot="1" x14ac:dyDescent="0.25">
      <c r="I50" s="6"/>
      <c r="J50" s="4"/>
    </row>
    <row r="51" spans="1:15" ht="12" customHeight="1" x14ac:dyDescent="0.2">
      <c r="A51" s="1">
        <v>59</v>
      </c>
      <c r="B51" s="8">
        <f>B44+$B$1</f>
        <v>0.65624999999999978</v>
      </c>
      <c r="C51" s="8">
        <f>C44+$B$1</f>
        <v>0.66666666666666641</v>
      </c>
      <c r="D51" s="9"/>
      <c r="E51" s="10"/>
      <c r="F51" s="10"/>
      <c r="G51" s="10"/>
      <c r="H51" s="10"/>
      <c r="I51" s="11">
        <v>15</v>
      </c>
      <c r="J51" s="12" t="s">
        <v>0</v>
      </c>
      <c r="K51" s="13" t="s">
        <v>7</v>
      </c>
    </row>
    <row r="52" spans="1:15" ht="12" customHeight="1" x14ac:dyDescent="0.2">
      <c r="D52" s="19"/>
      <c r="G52" s="17"/>
      <c r="H52" s="17"/>
      <c r="I52" s="5">
        <v>6</v>
      </c>
      <c r="J52" s="1" t="s">
        <v>0</v>
      </c>
      <c r="K52" s="18" t="s">
        <v>9</v>
      </c>
      <c r="L52" s="14" t="s">
        <v>6</v>
      </c>
      <c r="M52" s="5">
        <f>IF(I52=0,0,IF(I56&gt;I52,ABS(I52-I54),ABS(I54-I56)))</f>
        <v>3</v>
      </c>
      <c r="N52" s="15" t="s">
        <v>11</v>
      </c>
      <c r="O52" s="45">
        <f>AdherancePercentage(I52,M52)</f>
        <v>0.5</v>
      </c>
    </row>
    <row r="53" spans="1:15" ht="12" customHeight="1" x14ac:dyDescent="0.2">
      <c r="D53" s="35"/>
      <c r="E53" s="29" t="s">
        <v>15</v>
      </c>
      <c r="F53" s="29"/>
      <c r="G53" s="33" t="s">
        <v>14</v>
      </c>
      <c r="I53" s="5">
        <v>12</v>
      </c>
      <c r="J53" s="1" t="s">
        <v>0</v>
      </c>
      <c r="K53" s="18" t="s">
        <v>4</v>
      </c>
    </row>
    <row r="54" spans="1:15" ht="12" customHeight="1" x14ac:dyDescent="0.2">
      <c r="D54" s="19"/>
      <c r="H54" s="30"/>
      <c r="I54" s="5">
        <v>3</v>
      </c>
      <c r="J54" s="1" t="s">
        <v>0</v>
      </c>
      <c r="K54" s="18" t="s">
        <v>1</v>
      </c>
      <c r="L54" s="14" t="s">
        <v>6</v>
      </c>
      <c r="M54" s="1">
        <f>IF(I56&gt;I54,0,I54-I56)</f>
        <v>0</v>
      </c>
      <c r="N54" s="15" t="s">
        <v>8</v>
      </c>
      <c r="O54" s="45">
        <f>AdherancePercentage(I54,M54)</f>
        <v>1</v>
      </c>
    </row>
    <row r="55" spans="1:15" ht="12" customHeight="1" x14ac:dyDescent="0.2">
      <c r="D55" s="22" t="s">
        <v>12</v>
      </c>
      <c r="E55" s="23"/>
      <c r="F55" s="23"/>
      <c r="G55" s="23"/>
      <c r="H55" s="23"/>
      <c r="I55" s="5">
        <v>15</v>
      </c>
      <c r="J55" s="1" t="s">
        <v>0</v>
      </c>
      <c r="K55" s="18" t="s">
        <v>13</v>
      </c>
      <c r="L55" s="14" t="s">
        <v>6</v>
      </c>
      <c r="M55" s="1">
        <f>ABS(I54-I56)</f>
        <v>6</v>
      </c>
      <c r="N55" s="15" t="s">
        <v>10</v>
      </c>
      <c r="O55" s="45">
        <f>AdherancePercentage(I55,M55)</f>
        <v>0.6</v>
      </c>
    </row>
    <row r="56" spans="1:15" ht="12" customHeight="1" thickBot="1" x14ac:dyDescent="0.25">
      <c r="D56" s="32"/>
      <c r="E56" s="27"/>
      <c r="F56" s="25"/>
      <c r="G56" s="25"/>
      <c r="H56" s="25"/>
      <c r="I56" s="26">
        <v>9</v>
      </c>
      <c r="J56" s="27"/>
      <c r="K56" s="28" t="s">
        <v>5</v>
      </c>
    </row>
    <row r="57" spans="1:15" ht="12" customHeight="1" thickBot="1" x14ac:dyDescent="0.25">
      <c r="I57" s="36"/>
    </row>
    <row r="58" spans="1:15" ht="12" customHeight="1" x14ac:dyDescent="0.2">
      <c r="A58" s="1">
        <v>60</v>
      </c>
      <c r="B58" s="8">
        <f>B51+$B$1</f>
        <v>0.66666666666666641</v>
      </c>
      <c r="C58" s="8">
        <f>C51+$B$1</f>
        <v>0.67708333333333304</v>
      </c>
      <c r="D58" s="9"/>
      <c r="E58" s="10"/>
      <c r="F58" s="10"/>
      <c r="G58" s="10"/>
      <c r="H58" s="10"/>
      <c r="I58" s="11">
        <v>15</v>
      </c>
      <c r="J58" s="12" t="s">
        <v>0</v>
      </c>
      <c r="K58" s="13" t="s">
        <v>7</v>
      </c>
    </row>
    <row r="59" spans="1:15" ht="12" customHeight="1" x14ac:dyDescent="0.2">
      <c r="D59" s="16"/>
      <c r="E59" s="17"/>
      <c r="F59" s="17"/>
      <c r="G59" s="17"/>
      <c r="H59" s="17"/>
      <c r="I59" s="5">
        <v>15</v>
      </c>
      <c r="J59" s="1" t="s">
        <v>0</v>
      </c>
      <c r="K59" s="18" t="s">
        <v>9</v>
      </c>
      <c r="L59" s="14" t="s">
        <v>6</v>
      </c>
      <c r="M59" s="5">
        <f>IF(I59=0,0,IF(I63&gt;I59,ABS(I59-I61),ABS(I61-I63)))</f>
        <v>3</v>
      </c>
      <c r="N59" s="15" t="s">
        <v>11</v>
      </c>
      <c r="O59" s="45">
        <f>AdherancePercentage(I59,M59)</f>
        <v>0.8</v>
      </c>
    </row>
    <row r="60" spans="1:15" ht="12" customHeight="1" x14ac:dyDescent="0.2">
      <c r="D60" s="19"/>
      <c r="E60" s="37" t="s">
        <v>16</v>
      </c>
      <c r="I60" s="5">
        <v>3</v>
      </c>
      <c r="J60" s="1" t="s">
        <v>0</v>
      </c>
      <c r="K60" s="18" t="s">
        <v>4</v>
      </c>
    </row>
    <row r="61" spans="1:15" ht="12" customHeight="1" x14ac:dyDescent="0.2">
      <c r="D61" s="20"/>
      <c r="F61" s="30"/>
      <c r="G61" s="30"/>
      <c r="H61" s="7"/>
      <c r="I61" s="5">
        <v>12</v>
      </c>
      <c r="J61" s="1" t="s">
        <v>0</v>
      </c>
      <c r="K61" s="18" t="s">
        <v>1</v>
      </c>
      <c r="L61" s="14" t="s">
        <v>6</v>
      </c>
      <c r="M61" s="1">
        <f>IF(I63&gt;I61,0,I61-I63)</f>
        <v>0</v>
      </c>
      <c r="N61" s="15" t="s">
        <v>8</v>
      </c>
      <c r="O61" s="45">
        <f>AdherancePercentage(I61,M61)</f>
        <v>1</v>
      </c>
    </row>
    <row r="62" spans="1:15" ht="12" customHeight="1" x14ac:dyDescent="0.2">
      <c r="D62" s="22" t="s">
        <v>12</v>
      </c>
      <c r="E62" s="23"/>
      <c r="F62" s="23"/>
      <c r="G62" s="23"/>
      <c r="H62" s="23"/>
      <c r="I62" s="5">
        <v>15</v>
      </c>
      <c r="J62" s="1" t="s">
        <v>0</v>
      </c>
      <c r="K62" s="18" t="s">
        <v>13</v>
      </c>
      <c r="L62" s="14" t="s">
        <v>6</v>
      </c>
      <c r="M62" s="1">
        <f>ABS(I61-I63)</f>
        <v>3</v>
      </c>
      <c r="N62" s="15" t="s">
        <v>10</v>
      </c>
      <c r="O62" s="45">
        <f>AdherancePercentage(I62,M62)</f>
        <v>0.8</v>
      </c>
    </row>
    <row r="63" spans="1:15" ht="12" customHeight="1" thickBot="1" x14ac:dyDescent="0.25">
      <c r="D63" s="24"/>
      <c r="E63" s="25"/>
      <c r="F63" s="25"/>
      <c r="G63" s="25"/>
      <c r="H63" s="25"/>
      <c r="I63" s="26">
        <v>15</v>
      </c>
      <c r="J63" s="27"/>
      <c r="K63" s="28" t="s">
        <v>5</v>
      </c>
    </row>
    <row r="64" spans="1:15" ht="12" customHeight="1" thickBot="1" x14ac:dyDescent="0.25">
      <c r="I64" s="6"/>
      <c r="J64" s="4"/>
    </row>
    <row r="65" spans="1:15" ht="12" customHeight="1" x14ac:dyDescent="0.2">
      <c r="A65" s="1">
        <v>61</v>
      </c>
      <c r="B65" s="8">
        <f>B58+$B$1</f>
        <v>0.67708333333333304</v>
      </c>
      <c r="C65" s="8">
        <f>C58+$B$1</f>
        <v>0.68749999999999967</v>
      </c>
      <c r="D65" s="9"/>
      <c r="E65" s="10"/>
      <c r="F65" s="10"/>
      <c r="G65" s="10"/>
      <c r="H65" s="10"/>
      <c r="I65" s="11">
        <v>15</v>
      </c>
      <c r="J65" s="12" t="s">
        <v>0</v>
      </c>
      <c r="K65" s="13" t="s">
        <v>7</v>
      </c>
    </row>
    <row r="66" spans="1:15" ht="12" customHeight="1" x14ac:dyDescent="0.2">
      <c r="D66" s="16"/>
      <c r="E66" s="17"/>
      <c r="F66" s="17"/>
      <c r="I66" s="5">
        <v>9</v>
      </c>
      <c r="J66" s="1" t="s">
        <v>0</v>
      </c>
      <c r="K66" s="18" t="s">
        <v>9</v>
      </c>
      <c r="L66" s="14" t="s">
        <v>6</v>
      </c>
      <c r="M66" s="5">
        <f>IF(I66=0,0,IF(I70&gt;I66,ABS(I66-I68),ABS(I68-I70)))</f>
        <v>3</v>
      </c>
      <c r="N66" s="15" t="s">
        <v>11</v>
      </c>
      <c r="O66" s="45">
        <f>AdherancePercentage(I66,M66)</f>
        <v>0.66666666666666663</v>
      </c>
    </row>
    <row r="67" spans="1:15" ht="12" customHeight="1" x14ac:dyDescent="0.2">
      <c r="D67" s="34" t="s">
        <v>14</v>
      </c>
      <c r="I67" s="5">
        <v>3</v>
      </c>
      <c r="J67" s="1" t="s">
        <v>0</v>
      </c>
      <c r="K67" s="18" t="s">
        <v>4</v>
      </c>
    </row>
    <row r="68" spans="1:15" ht="12" customHeight="1" x14ac:dyDescent="0.2">
      <c r="D68" s="19"/>
      <c r="E68" s="7"/>
      <c r="F68" s="7"/>
      <c r="G68" s="1" t="s">
        <v>2</v>
      </c>
      <c r="I68" s="5">
        <v>6</v>
      </c>
      <c r="J68" s="1" t="s">
        <v>0</v>
      </c>
      <c r="K68" s="18" t="s">
        <v>1</v>
      </c>
      <c r="L68" s="14" t="s">
        <v>6</v>
      </c>
      <c r="M68" s="1">
        <f>IF(I70&gt;I68,0,I68-I70)</f>
        <v>0</v>
      </c>
      <c r="N68" s="15" t="s">
        <v>8</v>
      </c>
      <c r="O68" s="45">
        <f>AdherancePercentage(I68,M68)</f>
        <v>1</v>
      </c>
    </row>
    <row r="69" spans="1:15" ht="12" customHeight="1" x14ac:dyDescent="0.2">
      <c r="D69" s="22" t="s">
        <v>12</v>
      </c>
      <c r="E69" s="23"/>
      <c r="F69" s="23"/>
      <c r="I69" s="5">
        <v>9</v>
      </c>
      <c r="J69" s="1" t="s">
        <v>0</v>
      </c>
      <c r="K69" s="18" t="s">
        <v>13</v>
      </c>
      <c r="L69" s="14" t="s">
        <v>6</v>
      </c>
      <c r="M69" s="1">
        <f>ABS(I68-I70)</f>
        <v>6</v>
      </c>
      <c r="N69" s="15" t="s">
        <v>10</v>
      </c>
      <c r="O69" s="45">
        <f>AdherancePercentage(I69,M69)</f>
        <v>0.33333333333333331</v>
      </c>
    </row>
    <row r="70" spans="1:15" ht="12" customHeight="1" thickBot="1" x14ac:dyDescent="0.25">
      <c r="D70" s="24"/>
      <c r="E70" s="25"/>
      <c r="F70" s="25"/>
      <c r="G70" s="25"/>
      <c r="H70" s="27"/>
      <c r="I70" s="26">
        <v>12</v>
      </c>
      <c r="J70" s="27"/>
      <c r="K70" s="28" t="s">
        <v>5</v>
      </c>
    </row>
    <row r="71" spans="1:15" ht="12" customHeight="1" thickBot="1" x14ac:dyDescent="0.25">
      <c r="I71" s="36"/>
    </row>
    <row r="72" spans="1:15" ht="12" customHeight="1" x14ac:dyDescent="0.2">
      <c r="A72" s="1">
        <v>62</v>
      </c>
      <c r="B72" s="8">
        <f>B65+$B$1</f>
        <v>0.68749999999999967</v>
      </c>
      <c r="C72" s="8">
        <f>C65+$B$1</f>
        <v>0.6979166666666663</v>
      </c>
      <c r="D72" s="9"/>
      <c r="E72" s="10"/>
      <c r="F72" s="10"/>
      <c r="G72" s="10"/>
      <c r="H72" s="10"/>
      <c r="I72" s="11">
        <v>15</v>
      </c>
      <c r="J72" s="12" t="s">
        <v>0</v>
      </c>
      <c r="K72" s="13" t="s">
        <v>7</v>
      </c>
    </row>
    <row r="73" spans="1:15" ht="12" customHeight="1" x14ac:dyDescent="0.2">
      <c r="D73" s="19"/>
      <c r="I73" s="5">
        <v>0</v>
      </c>
      <c r="J73" s="1" t="s">
        <v>0</v>
      </c>
      <c r="K73" s="18" t="s">
        <v>9</v>
      </c>
      <c r="L73" s="14" t="s">
        <v>6</v>
      </c>
      <c r="M73" s="5">
        <f>IF(I73=0,0,IF(I77&gt;I73,ABS(I73-I75),ABS(I75-I77)))</f>
        <v>0</v>
      </c>
      <c r="N73" s="15" t="s">
        <v>11</v>
      </c>
      <c r="O73" s="45">
        <f>AdherancePercentage(I73,M73)</f>
        <v>1</v>
      </c>
    </row>
    <row r="74" spans="1:15" ht="12" customHeight="1" x14ac:dyDescent="0.2">
      <c r="D74" s="19"/>
      <c r="I74" s="5">
        <v>0</v>
      </c>
      <c r="J74" s="1" t="s">
        <v>0</v>
      </c>
      <c r="K74" s="18" t="s">
        <v>4</v>
      </c>
    </row>
    <row r="75" spans="1:15" ht="12" customHeight="1" x14ac:dyDescent="0.2">
      <c r="D75" s="19"/>
      <c r="I75" s="5">
        <v>0</v>
      </c>
      <c r="J75" s="1" t="s">
        <v>0</v>
      </c>
      <c r="K75" s="18" t="s">
        <v>1</v>
      </c>
      <c r="L75" s="14" t="s">
        <v>6</v>
      </c>
      <c r="M75" s="1">
        <f>IF(I77&gt;I75,0,I75-I77)</f>
        <v>0</v>
      </c>
      <c r="N75" s="15" t="s">
        <v>8</v>
      </c>
      <c r="O75" s="45">
        <f>AdherancePercentage(I75,M75)</f>
        <v>1</v>
      </c>
    </row>
    <row r="76" spans="1:15" ht="12" customHeight="1" x14ac:dyDescent="0.2">
      <c r="D76" s="19"/>
      <c r="I76" s="5">
        <v>0</v>
      </c>
      <c r="J76" s="1" t="s">
        <v>0</v>
      </c>
      <c r="K76" s="18" t="s">
        <v>13</v>
      </c>
      <c r="L76" s="14" t="s">
        <v>6</v>
      </c>
      <c r="M76" s="1">
        <f>ABS(I75-I77)</f>
        <v>15</v>
      </c>
      <c r="N76" s="15" t="s">
        <v>10</v>
      </c>
      <c r="O76" s="45">
        <f>AdherancePercentage(I76,M76)</f>
        <v>1</v>
      </c>
    </row>
    <row r="77" spans="1:15" ht="12" customHeight="1" thickBot="1" x14ac:dyDescent="0.25">
      <c r="D77" s="24"/>
      <c r="E77" s="25"/>
      <c r="F77" s="25"/>
      <c r="G77" s="25"/>
      <c r="H77" s="25"/>
      <c r="I77" s="26">
        <v>15</v>
      </c>
      <c r="J77" s="27"/>
      <c r="K77" s="28" t="s">
        <v>5</v>
      </c>
    </row>
    <row r="78" spans="1:15" ht="12" customHeight="1" thickBot="1" x14ac:dyDescent="0.25"/>
    <row r="79" spans="1:15" ht="12" customHeight="1" x14ac:dyDescent="0.2">
      <c r="A79" s="1">
        <v>63</v>
      </c>
      <c r="B79" s="8">
        <f>B72+$B$1</f>
        <v>0.6979166666666663</v>
      </c>
      <c r="C79" s="8">
        <f>C72+$B$1</f>
        <v>0.70833333333333293</v>
      </c>
      <c r="D79" s="9"/>
      <c r="E79" s="10"/>
      <c r="F79" s="10"/>
      <c r="G79" s="10"/>
      <c r="H79" s="10"/>
      <c r="I79" s="11">
        <v>15</v>
      </c>
      <c r="J79" s="12" t="s">
        <v>0</v>
      </c>
      <c r="K79" s="13" t="s">
        <v>7</v>
      </c>
    </row>
    <row r="80" spans="1:15" ht="12" customHeight="1" x14ac:dyDescent="0.2">
      <c r="D80" s="19"/>
      <c r="I80" s="5">
        <v>0</v>
      </c>
      <c r="J80" s="1" t="s">
        <v>0</v>
      </c>
      <c r="K80" s="18" t="s">
        <v>9</v>
      </c>
      <c r="L80" s="14" t="s">
        <v>6</v>
      </c>
      <c r="M80" s="5">
        <f>IF(I80=0,0,IF(I84&gt;I80,ABS(I80-I82),ABS(I82-I84)))</f>
        <v>0</v>
      </c>
      <c r="N80" s="15" t="s">
        <v>11</v>
      </c>
      <c r="O80" s="45">
        <f>AdherancePercentage(I80,M80)</f>
        <v>1</v>
      </c>
    </row>
    <row r="81" spans="1:15" ht="12" customHeight="1" x14ac:dyDescent="0.2">
      <c r="D81" s="19"/>
      <c r="I81" s="5">
        <v>0</v>
      </c>
      <c r="J81" s="1" t="s">
        <v>0</v>
      </c>
      <c r="K81" s="18" t="s">
        <v>4</v>
      </c>
    </row>
    <row r="82" spans="1:15" ht="12" customHeight="1" x14ac:dyDescent="0.2">
      <c r="D82" s="19"/>
      <c r="I82" s="5">
        <v>0</v>
      </c>
      <c r="J82" s="1" t="s">
        <v>0</v>
      </c>
      <c r="K82" s="18" t="s">
        <v>1</v>
      </c>
      <c r="L82" s="14" t="s">
        <v>6</v>
      </c>
      <c r="M82" s="1">
        <f>IF(I84&gt;I82,0,I82-I84)</f>
        <v>0</v>
      </c>
      <c r="N82" s="15" t="s">
        <v>8</v>
      </c>
      <c r="O82" s="45">
        <f>AdherancePercentage(I82,M82)</f>
        <v>1</v>
      </c>
    </row>
    <row r="83" spans="1:15" ht="12" customHeight="1" x14ac:dyDescent="0.2">
      <c r="D83" s="19"/>
      <c r="I83" s="5">
        <v>0</v>
      </c>
      <c r="J83" s="1" t="s">
        <v>0</v>
      </c>
      <c r="K83" s="18" t="s">
        <v>13</v>
      </c>
      <c r="L83" s="14" t="s">
        <v>6</v>
      </c>
      <c r="M83" s="1">
        <f>ABS(I82-I84)</f>
        <v>6</v>
      </c>
      <c r="N83" s="15" t="s">
        <v>10</v>
      </c>
      <c r="O83" s="45">
        <f>AdherancePercentage(I83,M83)</f>
        <v>1</v>
      </c>
    </row>
    <row r="84" spans="1:15" ht="12" customHeight="1" thickBot="1" x14ac:dyDescent="0.25">
      <c r="D84" s="24"/>
      <c r="E84" s="25"/>
      <c r="F84" s="27"/>
      <c r="G84" s="27"/>
      <c r="H84" s="27"/>
      <c r="I84" s="26">
        <v>6</v>
      </c>
      <c r="J84" s="27"/>
      <c r="K84" s="28" t="s">
        <v>5</v>
      </c>
    </row>
    <row r="85" spans="1:15" ht="12" customHeight="1" thickBot="1" x14ac:dyDescent="0.25"/>
    <row r="86" spans="1:15" ht="12" customHeight="1" x14ac:dyDescent="0.2">
      <c r="A86" s="1">
        <v>64</v>
      </c>
      <c r="B86" s="8">
        <f>B72+$B$1</f>
        <v>0.6979166666666663</v>
      </c>
      <c r="C86" s="8">
        <f>C72+$B$1</f>
        <v>0.70833333333333293</v>
      </c>
      <c r="D86" s="9"/>
      <c r="E86" s="10"/>
      <c r="F86" s="10"/>
      <c r="G86" s="10" t="s">
        <v>12</v>
      </c>
      <c r="H86" s="10"/>
      <c r="I86" s="11">
        <v>15</v>
      </c>
      <c r="J86" s="12" t="s">
        <v>0</v>
      </c>
      <c r="K86" s="13" t="s">
        <v>7</v>
      </c>
    </row>
    <row r="87" spans="1:15" ht="12" customHeight="1" x14ac:dyDescent="0.2">
      <c r="D87" s="16"/>
      <c r="E87" s="17"/>
      <c r="F87" s="17"/>
      <c r="G87" s="17"/>
      <c r="H87" s="17"/>
      <c r="I87" s="5">
        <v>15</v>
      </c>
      <c r="J87" s="1" t="s">
        <v>0</v>
      </c>
      <c r="K87" s="18" t="s">
        <v>9</v>
      </c>
      <c r="L87" s="14" t="s">
        <v>6</v>
      </c>
      <c r="M87" s="5">
        <f>IF(I87=0,0,IF(I91&gt;I87,ABS(I87-I89),ABS(I89-I91)))</f>
        <v>15</v>
      </c>
      <c r="N87" s="15" t="s">
        <v>11</v>
      </c>
      <c r="O87" s="45">
        <f>AdherancePercentage(I87,M87)</f>
        <v>0</v>
      </c>
    </row>
    <row r="88" spans="1:15" ht="12" customHeight="1" x14ac:dyDescent="0.2">
      <c r="D88" s="34" t="s">
        <v>66</v>
      </c>
      <c r="E88" s="33"/>
      <c r="F88" s="33"/>
      <c r="G88" s="33"/>
      <c r="H88" s="33"/>
      <c r="I88" s="5">
        <v>5</v>
      </c>
      <c r="J88" s="1" t="s">
        <v>0</v>
      </c>
      <c r="K88" s="18" t="s">
        <v>4</v>
      </c>
    </row>
    <row r="89" spans="1:15" ht="12" customHeight="1" x14ac:dyDescent="0.2">
      <c r="D89" s="19"/>
      <c r="I89" s="5">
        <v>0</v>
      </c>
      <c r="J89" s="1" t="s">
        <v>0</v>
      </c>
      <c r="K89" s="18" t="s">
        <v>1</v>
      </c>
      <c r="L89" s="14" t="s">
        <v>6</v>
      </c>
      <c r="M89" s="1">
        <f>IF(I91&gt;I89,0,I89-I91)</f>
        <v>0</v>
      </c>
      <c r="N89" s="15" t="s">
        <v>8</v>
      </c>
      <c r="O89" s="45">
        <f>AdherancePercentage(I89,M89)</f>
        <v>1</v>
      </c>
    </row>
    <row r="90" spans="1:15" ht="12" customHeight="1" x14ac:dyDescent="0.2">
      <c r="D90" s="22" t="s">
        <v>12</v>
      </c>
      <c r="E90" s="23"/>
      <c r="F90" s="23"/>
      <c r="G90" s="23"/>
      <c r="H90" s="23"/>
      <c r="I90" s="5">
        <v>15</v>
      </c>
      <c r="J90" s="1" t="s">
        <v>0</v>
      </c>
      <c r="K90" s="18" t="s">
        <v>13</v>
      </c>
      <c r="L90" s="14" t="s">
        <v>6</v>
      </c>
      <c r="M90" s="1">
        <f>ABS(I89-I91)</f>
        <v>15</v>
      </c>
      <c r="N90" s="15" t="s">
        <v>10</v>
      </c>
      <c r="O90" s="45">
        <f>AdherancePercentage(I90,M90)</f>
        <v>0</v>
      </c>
    </row>
    <row r="91" spans="1:15" ht="12" customHeight="1" thickBot="1" x14ac:dyDescent="0.25">
      <c r="D91" s="24"/>
      <c r="E91" s="25"/>
      <c r="F91" s="25"/>
      <c r="G91" s="25"/>
      <c r="H91" s="25"/>
      <c r="I91" s="26">
        <v>15</v>
      </c>
      <c r="J91" s="27"/>
      <c r="K91" s="28" t="s">
        <v>5</v>
      </c>
    </row>
    <row r="92" spans="1:15" ht="12" customHeight="1" thickBot="1" x14ac:dyDescent="0.25"/>
    <row r="93" spans="1:15" ht="12" customHeight="1" x14ac:dyDescent="0.2">
      <c r="A93" s="1">
        <v>65</v>
      </c>
      <c r="B93" s="8">
        <f>B79+$B$1</f>
        <v>0.70833333333333293</v>
      </c>
      <c r="C93" s="8">
        <f>C79+$B$1</f>
        <v>0.71874999999999956</v>
      </c>
      <c r="D93" s="9"/>
      <c r="E93" s="10"/>
      <c r="F93" s="10"/>
      <c r="G93" s="10" t="s">
        <v>12</v>
      </c>
      <c r="H93" s="10"/>
      <c r="I93" s="11">
        <v>15</v>
      </c>
      <c r="J93" s="12" t="s">
        <v>0</v>
      </c>
      <c r="K93" s="13" t="s">
        <v>7</v>
      </c>
    </row>
    <row r="94" spans="1:15" ht="12" customHeight="1" x14ac:dyDescent="0.2">
      <c r="D94" s="16"/>
      <c r="I94" s="5">
        <v>5</v>
      </c>
      <c r="J94" s="1" t="s">
        <v>0</v>
      </c>
      <c r="K94" s="18" t="s">
        <v>9</v>
      </c>
      <c r="L94" s="14" t="s">
        <v>6</v>
      </c>
      <c r="M94" s="5">
        <f>IF(I94=0,0,IF(I98&gt;I94,ABS(I94-I96),ABS(I96-I98)))</f>
        <v>5</v>
      </c>
      <c r="N94" s="15" t="s">
        <v>11</v>
      </c>
      <c r="O94" s="45">
        <f>AdherancePercentage(I94,M94)</f>
        <v>0</v>
      </c>
    </row>
    <row r="95" spans="1:15" ht="12" customHeight="1" x14ac:dyDescent="0.2">
      <c r="D95" s="34" t="s">
        <v>66</v>
      </c>
      <c r="I95" s="5">
        <v>5</v>
      </c>
      <c r="J95" s="1" t="s">
        <v>0</v>
      </c>
      <c r="K95" s="18" t="s">
        <v>4</v>
      </c>
    </row>
    <row r="96" spans="1:15" ht="12" customHeight="1" x14ac:dyDescent="0.2">
      <c r="D96" s="19"/>
      <c r="I96" s="5">
        <v>0</v>
      </c>
      <c r="J96" s="1" t="s">
        <v>0</v>
      </c>
      <c r="K96" s="18" t="s">
        <v>1</v>
      </c>
      <c r="L96" s="14" t="s">
        <v>6</v>
      </c>
      <c r="M96" s="1">
        <f>IF(I98&gt;I96,0,I96-I98)</f>
        <v>0</v>
      </c>
      <c r="N96" s="15" t="s">
        <v>8</v>
      </c>
      <c r="O96" s="45">
        <f>AdherancePercentage(I96,M96)</f>
        <v>1</v>
      </c>
    </row>
    <row r="97" spans="4:15" ht="12" customHeight="1" x14ac:dyDescent="0.2">
      <c r="D97" s="22" t="s">
        <v>12</v>
      </c>
      <c r="I97" s="5">
        <v>5</v>
      </c>
      <c r="J97" s="1" t="s">
        <v>0</v>
      </c>
      <c r="K97" s="18" t="s">
        <v>13</v>
      </c>
      <c r="L97" s="14" t="s">
        <v>6</v>
      </c>
      <c r="M97" s="1">
        <f>ABS(I96-I98)</f>
        <v>15</v>
      </c>
      <c r="N97" s="15" t="s">
        <v>10</v>
      </c>
      <c r="O97" s="45">
        <f>AdherancePercentage(I97,M97)</f>
        <v>0</v>
      </c>
    </row>
    <row r="98" spans="4:15" ht="12" customHeight="1" thickBot="1" x14ac:dyDescent="0.25">
      <c r="D98" s="24"/>
      <c r="E98" s="25"/>
      <c r="F98" s="25"/>
      <c r="G98" s="25"/>
      <c r="H98" s="25"/>
      <c r="I98" s="26">
        <v>15</v>
      </c>
      <c r="J98" s="27"/>
      <c r="K98" s="28" t="s">
        <v>5</v>
      </c>
    </row>
  </sheetData>
  <pageMargins left="0.7" right="0.7" top="0.75" bottom="0.75" header="0.3" footer="0.3"/>
  <pageSetup paperSize="9" orientation="portrait" r:id="rId1"/>
  <colBreaks count="1" manualBreakCount="1">
    <brk id="10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18"/>
  <sheetViews>
    <sheetView workbookViewId="0">
      <selection activeCell="A52" sqref="A52"/>
    </sheetView>
  </sheetViews>
  <sheetFormatPr defaultRowHeight="15" x14ac:dyDescent="0.25"/>
  <cols>
    <col min="1" max="1" width="40.5703125" customWidth="1"/>
  </cols>
  <sheetData>
    <row r="1" spans="1:1" x14ac:dyDescent="0.25">
      <c r="A1" t="s">
        <v>57</v>
      </c>
    </row>
    <row r="2" spans="1:1" x14ac:dyDescent="0.25">
      <c r="A2" t="s">
        <v>17</v>
      </c>
    </row>
    <row r="3" spans="1:1" x14ac:dyDescent="0.25">
      <c r="A3" t="s">
        <v>18</v>
      </c>
    </row>
    <row r="5" spans="1:1" x14ac:dyDescent="0.25">
      <c r="A5" t="s">
        <v>19</v>
      </c>
    </row>
    <row r="6" spans="1:1" x14ac:dyDescent="0.25">
      <c r="A6" t="s">
        <v>20</v>
      </c>
    </row>
    <row r="7" spans="1:1" x14ac:dyDescent="0.25">
      <c r="A7" t="s">
        <v>19</v>
      </c>
    </row>
    <row r="8" spans="1:1" x14ac:dyDescent="0.25">
      <c r="A8" t="s">
        <v>21</v>
      </c>
    </row>
    <row r="9" spans="1:1" x14ac:dyDescent="0.25">
      <c r="A9" t="s">
        <v>19</v>
      </c>
    </row>
    <row r="10" spans="1:1" x14ac:dyDescent="0.25">
      <c r="A10" t="s">
        <v>22</v>
      </c>
    </row>
    <row r="11" spans="1:1" x14ac:dyDescent="0.25">
      <c r="A11" t="s">
        <v>19</v>
      </c>
    </row>
    <row r="12" spans="1:1" x14ac:dyDescent="0.25">
      <c r="A12" t="s">
        <v>23</v>
      </c>
    </row>
    <row r="13" spans="1:1" x14ac:dyDescent="0.25">
      <c r="A13" t="s">
        <v>19</v>
      </c>
    </row>
    <row r="14" spans="1:1" x14ac:dyDescent="0.25">
      <c r="A14" t="s">
        <v>24</v>
      </c>
    </row>
    <row r="15" spans="1:1" x14ac:dyDescent="0.25">
      <c r="A15" t="s">
        <v>19</v>
      </c>
    </row>
    <row r="16" spans="1:1" x14ac:dyDescent="0.25">
      <c r="A16" t="s">
        <v>25</v>
      </c>
    </row>
    <row r="17" spans="1:1" x14ac:dyDescent="0.25">
      <c r="A17" t="s">
        <v>19</v>
      </c>
    </row>
    <row r="18" spans="1:1" x14ac:dyDescent="0.25">
      <c r="A18" t="s">
        <v>26</v>
      </c>
    </row>
    <row r="19" spans="1:1" x14ac:dyDescent="0.25">
      <c r="A19" t="s">
        <v>19</v>
      </c>
    </row>
    <row r="20" spans="1:1" x14ac:dyDescent="0.25">
      <c r="A20" t="s">
        <v>27</v>
      </c>
    </row>
    <row r="21" spans="1:1" x14ac:dyDescent="0.25">
      <c r="A21" t="s">
        <v>19</v>
      </c>
    </row>
    <row r="22" spans="1:1" x14ac:dyDescent="0.25">
      <c r="A22" t="s">
        <v>28</v>
      </c>
    </row>
    <row r="24" spans="1:1" x14ac:dyDescent="0.25">
      <c r="A24" t="s">
        <v>29</v>
      </c>
    </row>
    <row r="25" spans="1:1" x14ac:dyDescent="0.25">
      <c r="A25" t="s">
        <v>30</v>
      </c>
    </row>
    <row r="26" spans="1:1" x14ac:dyDescent="0.25">
      <c r="A26" t="s">
        <v>31</v>
      </c>
    </row>
    <row r="28" spans="1:1" x14ac:dyDescent="0.25">
      <c r="A28" t="s">
        <v>32</v>
      </c>
    </row>
    <row r="29" spans="1:1" x14ac:dyDescent="0.25">
      <c r="A29" t="s">
        <v>30</v>
      </c>
    </row>
    <row r="30" spans="1:1" x14ac:dyDescent="0.25">
      <c r="A30" t="s">
        <v>33</v>
      </c>
    </row>
    <row r="32" spans="1:1" x14ac:dyDescent="0.25">
      <c r="A32" t="s">
        <v>34</v>
      </c>
    </row>
    <row r="33" spans="1:1" x14ac:dyDescent="0.25">
      <c r="A33" t="s">
        <v>30</v>
      </c>
    </row>
    <row r="34" spans="1:1" x14ac:dyDescent="0.25">
      <c r="A34" t="s">
        <v>35</v>
      </c>
    </row>
    <row r="36" spans="1:1" x14ac:dyDescent="0.25">
      <c r="A36" t="s">
        <v>63</v>
      </c>
    </row>
    <row r="37" spans="1:1" x14ac:dyDescent="0.25">
      <c r="A37" t="s">
        <v>38</v>
      </c>
    </row>
    <row r="38" spans="1:1" x14ac:dyDescent="0.25">
      <c r="A38" t="s">
        <v>39</v>
      </c>
    </row>
    <row r="39" spans="1:1" x14ac:dyDescent="0.25">
      <c r="A39" t="s">
        <v>64</v>
      </c>
    </row>
    <row r="41" spans="1:1" x14ac:dyDescent="0.25">
      <c r="A41" t="s">
        <v>63</v>
      </c>
    </row>
    <row r="42" spans="1:1" x14ac:dyDescent="0.25">
      <c r="A42" t="s">
        <v>38</v>
      </c>
    </row>
    <row r="43" spans="1:1" x14ac:dyDescent="0.25">
      <c r="A43" t="s">
        <v>39</v>
      </c>
    </row>
    <row r="44" spans="1:1" x14ac:dyDescent="0.25">
      <c r="A44" t="s">
        <v>65</v>
      </c>
    </row>
    <row r="46" spans="1:1" x14ac:dyDescent="0.25">
      <c r="A46" t="s">
        <v>36</v>
      </c>
    </row>
    <row r="47" spans="1:1" x14ac:dyDescent="0.25">
      <c r="A47" t="s">
        <v>37</v>
      </c>
    </row>
    <row r="48" spans="1:1" x14ac:dyDescent="0.25">
      <c r="A48" t="s">
        <v>38</v>
      </c>
    </row>
    <row r="49" spans="1:1" x14ac:dyDescent="0.25">
      <c r="A49" t="s">
        <v>39</v>
      </c>
    </row>
    <row r="50" spans="1:1" x14ac:dyDescent="0.25">
      <c r="A50" t="s">
        <v>40</v>
      </c>
    </row>
    <row r="52" spans="1:1" x14ac:dyDescent="0.25">
      <c r="A52" t="s">
        <v>36</v>
      </c>
    </row>
    <row r="53" spans="1:1" x14ac:dyDescent="0.25">
      <c r="A53" t="s">
        <v>41</v>
      </c>
    </row>
    <row r="54" spans="1:1" x14ac:dyDescent="0.25">
      <c r="A54" t="s">
        <v>38</v>
      </c>
    </row>
    <row r="55" spans="1:1" x14ac:dyDescent="0.25">
      <c r="A55" t="s">
        <v>39</v>
      </c>
    </row>
    <row r="56" spans="1:1" x14ac:dyDescent="0.25">
      <c r="A56" t="s">
        <v>42</v>
      </c>
    </row>
    <row r="58" spans="1:1" x14ac:dyDescent="0.25">
      <c r="A58" t="s">
        <v>36</v>
      </c>
    </row>
    <row r="59" spans="1:1" x14ac:dyDescent="0.25">
      <c r="A59" t="s">
        <v>43</v>
      </c>
    </row>
    <row r="60" spans="1:1" x14ac:dyDescent="0.25">
      <c r="A60" t="s">
        <v>38</v>
      </c>
    </row>
    <row r="61" spans="1:1" x14ac:dyDescent="0.25">
      <c r="A61" t="s">
        <v>39</v>
      </c>
    </row>
    <row r="62" spans="1:1" x14ac:dyDescent="0.25">
      <c r="A62" t="s">
        <v>44</v>
      </c>
    </row>
    <row r="64" spans="1:1" x14ac:dyDescent="0.25">
      <c r="A64" t="s">
        <v>36</v>
      </c>
    </row>
    <row r="65" spans="1:1" x14ac:dyDescent="0.25">
      <c r="A65" t="s">
        <v>45</v>
      </c>
    </row>
    <row r="66" spans="1:1" x14ac:dyDescent="0.25">
      <c r="A66" t="s">
        <v>38</v>
      </c>
    </row>
    <row r="67" spans="1:1" x14ac:dyDescent="0.25">
      <c r="A67" t="s">
        <v>39</v>
      </c>
    </row>
    <row r="68" spans="1:1" x14ac:dyDescent="0.25">
      <c r="A68" t="s">
        <v>46</v>
      </c>
    </row>
    <row r="70" spans="1:1" x14ac:dyDescent="0.25">
      <c r="A70" t="s">
        <v>36</v>
      </c>
    </row>
    <row r="71" spans="1:1" x14ac:dyDescent="0.25">
      <c r="A71" t="s">
        <v>45</v>
      </c>
    </row>
    <row r="72" spans="1:1" x14ac:dyDescent="0.25">
      <c r="A72" t="s">
        <v>38</v>
      </c>
    </row>
    <row r="73" spans="1:1" x14ac:dyDescent="0.25">
      <c r="A73" t="s">
        <v>39</v>
      </c>
    </row>
    <row r="74" spans="1:1" x14ac:dyDescent="0.25">
      <c r="A74" t="s">
        <v>47</v>
      </c>
    </row>
    <row r="76" spans="1:1" x14ac:dyDescent="0.25">
      <c r="A76" t="s">
        <v>36</v>
      </c>
    </row>
    <row r="77" spans="1:1" x14ac:dyDescent="0.25">
      <c r="A77" t="s">
        <v>41</v>
      </c>
    </row>
    <row r="78" spans="1:1" x14ac:dyDescent="0.25">
      <c r="A78" t="s">
        <v>38</v>
      </c>
    </row>
    <row r="79" spans="1:1" x14ac:dyDescent="0.25">
      <c r="A79" t="s">
        <v>39</v>
      </c>
    </row>
    <row r="80" spans="1:1" x14ac:dyDescent="0.25">
      <c r="A80" t="s">
        <v>48</v>
      </c>
    </row>
    <row r="82" spans="1:1" x14ac:dyDescent="0.25">
      <c r="A82" t="s">
        <v>36</v>
      </c>
    </row>
    <row r="83" spans="1:1" x14ac:dyDescent="0.25">
      <c r="A83" t="s">
        <v>49</v>
      </c>
    </row>
    <row r="84" spans="1:1" x14ac:dyDescent="0.25">
      <c r="A84" t="s">
        <v>38</v>
      </c>
    </row>
    <row r="85" spans="1:1" x14ac:dyDescent="0.25">
      <c r="A85" t="s">
        <v>39</v>
      </c>
    </row>
    <row r="86" spans="1:1" x14ac:dyDescent="0.25">
      <c r="A86" t="s">
        <v>50</v>
      </c>
    </row>
    <row r="88" spans="1:1" x14ac:dyDescent="0.25">
      <c r="A88" t="s">
        <v>36</v>
      </c>
    </row>
    <row r="89" spans="1:1" x14ac:dyDescent="0.25">
      <c r="A89" t="s">
        <v>43</v>
      </c>
    </row>
    <row r="90" spans="1:1" x14ac:dyDescent="0.25">
      <c r="A90" t="s">
        <v>38</v>
      </c>
    </row>
    <row r="91" spans="1:1" x14ac:dyDescent="0.25">
      <c r="A91" t="s">
        <v>39</v>
      </c>
    </row>
    <row r="92" spans="1:1" x14ac:dyDescent="0.25">
      <c r="A92" t="s">
        <v>51</v>
      </c>
    </row>
    <row r="94" spans="1:1" x14ac:dyDescent="0.25">
      <c r="A94" t="s">
        <v>36</v>
      </c>
    </row>
    <row r="95" spans="1:1" x14ac:dyDescent="0.25">
      <c r="A95" t="s">
        <v>37</v>
      </c>
    </row>
    <row r="96" spans="1:1" x14ac:dyDescent="0.25">
      <c r="A96" t="s">
        <v>38</v>
      </c>
    </row>
    <row r="97" spans="1:1" x14ac:dyDescent="0.25">
      <c r="A97" t="s">
        <v>39</v>
      </c>
    </row>
    <row r="98" spans="1:1" x14ac:dyDescent="0.25">
      <c r="A98" t="s">
        <v>52</v>
      </c>
    </row>
    <row r="100" spans="1:1" x14ac:dyDescent="0.25">
      <c r="A100" t="s">
        <v>36</v>
      </c>
    </row>
    <row r="101" spans="1:1" x14ac:dyDescent="0.25">
      <c r="A101" t="s">
        <v>45</v>
      </c>
    </row>
    <row r="102" spans="1:1" x14ac:dyDescent="0.25">
      <c r="A102" t="s">
        <v>38</v>
      </c>
    </row>
    <row r="103" spans="1:1" x14ac:dyDescent="0.25">
      <c r="A103" t="s">
        <v>39</v>
      </c>
    </row>
    <row r="104" spans="1:1" x14ac:dyDescent="0.25">
      <c r="A104" t="s">
        <v>53</v>
      </c>
    </row>
    <row r="106" spans="1:1" x14ac:dyDescent="0.25">
      <c r="A106" t="s">
        <v>36</v>
      </c>
    </row>
    <row r="107" spans="1:1" x14ac:dyDescent="0.25">
      <c r="A107" t="s">
        <v>37</v>
      </c>
    </row>
    <row r="108" spans="1:1" x14ac:dyDescent="0.25">
      <c r="A108" t="s">
        <v>38</v>
      </c>
    </row>
    <row r="109" spans="1:1" x14ac:dyDescent="0.25">
      <c r="A109" t="s">
        <v>39</v>
      </c>
    </row>
    <row r="110" spans="1:1" x14ac:dyDescent="0.25">
      <c r="A110" t="s">
        <v>54</v>
      </c>
    </row>
    <row r="112" spans="1:1" x14ac:dyDescent="0.25">
      <c r="A112" t="s">
        <v>36</v>
      </c>
    </row>
    <row r="113" spans="1:1" x14ac:dyDescent="0.25">
      <c r="A113" t="s">
        <v>41</v>
      </c>
    </row>
    <row r="114" spans="1:1" x14ac:dyDescent="0.25">
      <c r="A114" t="s">
        <v>38</v>
      </c>
    </row>
    <row r="115" spans="1:1" x14ac:dyDescent="0.25">
      <c r="A115" t="s">
        <v>39</v>
      </c>
    </row>
    <row r="116" spans="1:1" x14ac:dyDescent="0.25">
      <c r="A116" t="s">
        <v>55</v>
      </c>
    </row>
    <row r="118" spans="1:1" x14ac:dyDescent="0.25">
      <c r="A118" t="s">
        <v>56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I4"/>
  <sheetViews>
    <sheetView zoomScale="60" zoomScaleNormal="60" workbookViewId="0">
      <selection activeCell="BI67" sqref="BI67"/>
    </sheetView>
  </sheetViews>
  <sheetFormatPr defaultColWidth="5.140625" defaultRowHeight="15" x14ac:dyDescent="0.25"/>
  <cols>
    <col min="1" max="1" width="7.7109375" bestFit="1" customWidth="1"/>
    <col min="9" max="9" width="13.140625" bestFit="1" customWidth="1"/>
  </cols>
  <sheetData>
    <row r="1" spans="1:61" ht="15.75" thickBot="1" x14ac:dyDescent="0.3">
      <c r="B1" s="38" t="s">
        <v>58</v>
      </c>
      <c r="C1" s="38"/>
      <c r="D1" s="38"/>
      <c r="E1" s="38" t="s">
        <v>59</v>
      </c>
      <c r="F1" s="38"/>
      <c r="G1" s="38"/>
      <c r="H1" s="38"/>
      <c r="I1" s="39">
        <v>39846</v>
      </c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38"/>
      <c r="BB1" s="38"/>
      <c r="BC1" s="38"/>
      <c r="BD1" s="38"/>
    </row>
    <row r="2" spans="1:61" x14ac:dyDescent="0.25">
      <c r="A2" t="s">
        <v>60</v>
      </c>
      <c r="B2" s="20"/>
      <c r="C2" s="7"/>
      <c r="D2" s="7"/>
      <c r="E2" s="7"/>
      <c r="F2" s="40"/>
      <c r="G2" s="20"/>
      <c r="H2" s="30"/>
      <c r="I2" s="30"/>
      <c r="J2" s="1"/>
      <c r="K2" s="18"/>
      <c r="L2" s="20"/>
      <c r="M2" s="1"/>
      <c r="N2" s="1"/>
      <c r="O2" s="7"/>
      <c r="P2" s="40"/>
      <c r="Q2" s="20"/>
      <c r="R2" s="30"/>
      <c r="S2" s="30"/>
      <c r="T2" s="1"/>
      <c r="U2" s="18"/>
      <c r="V2" s="20"/>
      <c r="W2" s="30"/>
      <c r="X2" s="1"/>
      <c r="Y2" s="1"/>
      <c r="Z2" s="1"/>
      <c r="AA2" s="19"/>
      <c r="AB2" s="1"/>
      <c r="AC2" s="1"/>
      <c r="AD2" s="1"/>
      <c r="AE2" s="1"/>
      <c r="AF2" s="19"/>
      <c r="AG2" s="1"/>
      <c r="AH2" s="1"/>
      <c r="AI2" s="1"/>
      <c r="AJ2" s="1"/>
      <c r="AK2" s="19"/>
      <c r="AL2" s="1"/>
      <c r="AM2" s="1"/>
      <c r="AN2" s="1"/>
      <c r="AO2" s="30"/>
      <c r="AP2" s="20"/>
      <c r="AQ2" s="1"/>
      <c r="AR2" s="30"/>
      <c r="AS2" s="30"/>
      <c r="AT2" s="40"/>
      <c r="AU2" s="19"/>
      <c r="AV2" s="7"/>
      <c r="AW2" s="7"/>
      <c r="AX2" s="1" t="s">
        <v>2</v>
      </c>
      <c r="AY2" s="1"/>
      <c r="AZ2" s="41"/>
      <c r="BA2" s="12"/>
      <c r="BB2" s="12"/>
      <c r="BC2" s="12"/>
      <c r="BD2" s="13"/>
      <c r="BE2" s="41"/>
      <c r="BF2" s="12"/>
      <c r="BG2" s="12"/>
      <c r="BH2" s="12"/>
      <c r="BI2" s="13"/>
    </row>
    <row r="3" spans="1:61" x14ac:dyDescent="0.25">
      <c r="A3" t="s">
        <v>61</v>
      </c>
      <c r="B3" s="19"/>
      <c r="C3" s="1"/>
      <c r="D3" s="1"/>
      <c r="E3" s="1"/>
      <c r="F3" s="18"/>
      <c r="G3" s="19"/>
      <c r="H3" s="1"/>
      <c r="I3" s="1"/>
      <c r="J3" s="29" t="s">
        <v>3</v>
      </c>
      <c r="K3" s="42"/>
      <c r="L3" s="19"/>
      <c r="M3" s="29" t="s">
        <v>3</v>
      </c>
      <c r="N3" s="29"/>
      <c r="O3" s="1"/>
      <c r="P3" s="18"/>
      <c r="Q3" s="19"/>
      <c r="R3" s="3"/>
      <c r="S3" s="2"/>
      <c r="T3" s="29" t="s">
        <v>3</v>
      </c>
      <c r="U3" s="42"/>
      <c r="V3" s="19"/>
      <c r="W3" s="1"/>
      <c r="X3" s="33"/>
      <c r="Y3" s="33" t="s">
        <v>14</v>
      </c>
      <c r="Z3" s="33"/>
      <c r="AA3" s="34" t="s">
        <v>14</v>
      </c>
      <c r="AB3" s="29" t="s">
        <v>15</v>
      </c>
      <c r="AC3" s="29"/>
      <c r="AD3" s="29"/>
      <c r="AE3" s="29"/>
      <c r="AF3" s="35"/>
      <c r="AG3" s="29" t="s">
        <v>15</v>
      </c>
      <c r="AH3" s="29"/>
      <c r="AI3" s="29"/>
      <c r="AJ3" s="29"/>
      <c r="AK3" s="35"/>
      <c r="AL3" s="29" t="s">
        <v>15</v>
      </c>
      <c r="AM3" s="29"/>
      <c r="AN3" s="33" t="s">
        <v>14</v>
      </c>
      <c r="AO3" s="1"/>
      <c r="AP3" s="19"/>
      <c r="AQ3" s="37" t="s">
        <v>16</v>
      </c>
      <c r="AR3" s="1"/>
      <c r="AS3" s="1"/>
      <c r="AT3" s="18"/>
      <c r="AU3" s="34" t="s">
        <v>14</v>
      </c>
      <c r="AV3" s="1"/>
      <c r="AW3" s="1"/>
      <c r="AX3" s="1"/>
      <c r="AY3" s="1"/>
      <c r="AZ3" s="19"/>
      <c r="BA3" s="1"/>
      <c r="BB3" s="1"/>
      <c r="BC3" s="1"/>
      <c r="BD3" s="18"/>
      <c r="BE3" s="19"/>
      <c r="BF3" s="1"/>
      <c r="BG3" s="1"/>
      <c r="BH3" s="1"/>
      <c r="BI3" s="18"/>
    </row>
    <row r="4" spans="1:61" ht="15.75" thickBot="1" x14ac:dyDescent="0.3">
      <c r="A4" t="s">
        <v>62</v>
      </c>
      <c r="B4" s="24"/>
      <c r="C4" s="25"/>
      <c r="D4" s="25"/>
      <c r="E4" s="25"/>
      <c r="F4" s="43"/>
      <c r="G4" s="24"/>
      <c r="H4" s="25"/>
      <c r="I4" s="31"/>
      <c r="J4" s="31"/>
      <c r="K4" s="44"/>
      <c r="L4" s="32"/>
      <c r="M4" s="25"/>
      <c r="N4" s="25"/>
      <c r="O4" s="25"/>
      <c r="P4" s="44"/>
      <c r="Q4" s="24"/>
      <c r="R4" s="25"/>
      <c r="S4" s="25"/>
      <c r="T4" s="25"/>
      <c r="U4" s="28"/>
      <c r="V4" s="24"/>
      <c r="W4" s="25"/>
      <c r="X4" s="25"/>
      <c r="Y4" s="25"/>
      <c r="Z4" s="27"/>
      <c r="AA4" s="24"/>
      <c r="AB4" s="25"/>
      <c r="AC4" s="27"/>
      <c r="AD4" s="27"/>
      <c r="AE4" s="27"/>
      <c r="AF4" s="32"/>
      <c r="AG4" s="25"/>
      <c r="AH4" s="27"/>
      <c r="AI4" s="27"/>
      <c r="AJ4" s="27"/>
      <c r="AK4" s="32"/>
      <c r="AL4" s="27"/>
      <c r="AM4" s="25"/>
      <c r="AN4" s="25"/>
      <c r="AO4" s="25"/>
      <c r="AP4" s="24"/>
      <c r="AQ4" s="25"/>
      <c r="AR4" s="25"/>
      <c r="AS4" s="25"/>
      <c r="AT4" s="43"/>
      <c r="AU4" s="24"/>
      <c r="AV4" s="25"/>
      <c r="AW4" s="25"/>
      <c r="AX4" s="25"/>
      <c r="AY4" s="27"/>
      <c r="AZ4" s="24"/>
      <c r="BA4" s="25"/>
      <c r="BB4" s="25"/>
      <c r="BC4" s="25"/>
      <c r="BD4" s="43"/>
      <c r="BE4" s="24"/>
      <c r="BF4" s="25"/>
      <c r="BG4" s="27"/>
      <c r="BH4" s="27"/>
      <c r="BI4" s="2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85E0FCBD353AE4BB5FD29B5605ABEA2" ma:contentTypeVersion="0" ma:contentTypeDescription="Create a new document." ma:contentTypeScope="" ma:versionID="b868e2209d47134f81e0d956a44937be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E4EDAB93-343A-497E-B441-ED77770AF7C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F9DFBDC-1CDB-4EF4-91A0-479803D8162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A0209971-451E-4565-B71F-6CE93ED9E5D8}">
  <ds:schemaRefs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purl.org/dc/elements/1.1/"/>
    <ds:schemaRef ds:uri="http://www.w3.org/XML/1998/namespace"/>
    <ds:schemaRef ds:uri="http://purl.org/dc/terms/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3 x Adherance</vt:lpstr>
      <vt:lpstr>Generate data</vt:lpstr>
      <vt:lpstr>Overview</vt:lpstr>
    </vt:vector>
  </TitlesOfParts>
  <Company>Teleopti AB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Jonsson</dc:creator>
  <cp:lastModifiedBy>David Jonsson</cp:lastModifiedBy>
  <cp:lastPrinted>2009-09-16T12:14:30Z</cp:lastPrinted>
  <dcterms:created xsi:type="dcterms:W3CDTF">2009-09-15T13:20:41Z</dcterms:created>
  <dcterms:modified xsi:type="dcterms:W3CDTF">2012-04-17T08:44:31Z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0x010100985E0FCBD353AE4BB5FD29B5605ABEA2</vt:lpwstr>
  </property>
</Properties>
</file>